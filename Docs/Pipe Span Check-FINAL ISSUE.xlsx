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lma\Support Standard\"/>
    </mc:Choice>
  </mc:AlternateContent>
  <xr:revisionPtr revIDLastSave="0" documentId="13_ncr:1_{20F33678-E384-46D1-81FA-17E278CD56CE}" xr6:coauthVersionLast="44" xr6:coauthVersionMax="44" xr10:uidLastSave="{00000000-0000-0000-0000-000000000000}"/>
  <bookViews>
    <workbookView xWindow="-120" yWindow="-120" windowWidth="29040" windowHeight="15840" tabRatio="869" activeTab="4" xr2:uid="{00000000-000D-0000-FFFF-FFFF00000000}"/>
  </bookViews>
  <sheets>
    <sheet name="Input" sheetId="3" r:id="rId1"/>
    <sheet name="Bare+Vapour" sheetId="2" r:id="rId2"/>
    <sheet name="Insul+Vapour" sheetId="4" r:id="rId3"/>
    <sheet name="Bare+Water" sheetId="5" r:id="rId4"/>
    <sheet name="Insul+Water" sheetId="6" r:id="rId5"/>
    <sheet name="QMS - CS" sheetId="7" r:id="rId6"/>
    <sheet name="QMS - SS" sheetId="8" r:id="rId7"/>
    <sheet name="Sample Cal-Bare+Vapour" sheetId="9" r:id="rId8"/>
    <sheet name="Sample Cal-Insul+Vapour" sheetId="10" r:id="rId9"/>
    <sheet name="Sample Cal-Bare+Water" sheetId="12" r:id="rId10"/>
    <sheet name="Sample Cal-Insul+Water" sheetId="13" r:id="rId11"/>
    <sheet name="Sheet6" sheetId="14" state="hidden" r:id="rId12"/>
  </sheets>
  <definedNames>
    <definedName name="_xlnm._FilterDatabase" localSheetId="1" hidden="1">'Bare+Vapour'!$A$2:$AB$49</definedName>
    <definedName name="_xlnm._FilterDatabase" localSheetId="3" hidden="1">'Bare+Water'!$A$2:$AB$49</definedName>
    <definedName name="_xlnm._FilterDatabase" localSheetId="2" hidden="1">'Insul+Vapour'!$A$2:$AD$49</definedName>
    <definedName name="_xlnm._FilterDatabase" localSheetId="4" hidden="1">'Insul+Water'!$A$2:$AD$49</definedName>
    <definedName name="_Toc158958007" localSheetId="6">'QMS - SS'!$A$1</definedName>
    <definedName name="_Toc158958008" localSheetId="6">'QMS - SS'!$B$1</definedName>
    <definedName name="_Toc158958009" localSheetId="6">'QMS - SS'!$B$2</definedName>
    <definedName name="_Toc158958010" localSheetId="6">'QMS - SS'!$D$2</definedName>
    <definedName name="_Toc158958012" localSheetId="6">'QMS - SS'!$B$3</definedName>
    <definedName name="_Toc158958013" localSheetId="6">'QMS - SS'!$C$3</definedName>
    <definedName name="_Toc158958014" localSheetId="6">'QMS - SS'!$D$3</definedName>
    <definedName name="_Toc158958015" localSheetId="6">'QMS - SS'!$E$3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4" i="2" l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3" i="2"/>
  <c r="P58" i="13" l="1"/>
  <c r="N58" i="13"/>
  <c r="L46" i="13"/>
  <c r="N45" i="13"/>
  <c r="M31" i="13"/>
  <c r="K22" i="13"/>
  <c r="K10" i="13"/>
  <c r="K20" i="12"/>
  <c r="P57" i="12"/>
  <c r="N57" i="12"/>
  <c r="L44" i="12"/>
  <c r="N43" i="12"/>
  <c r="M27" i="12"/>
  <c r="K10" i="12"/>
  <c r="K21" i="10"/>
  <c r="P57" i="10"/>
  <c r="N57" i="10"/>
  <c r="L45" i="10"/>
  <c r="N44" i="10"/>
  <c r="M28" i="10"/>
  <c r="K10" i="10"/>
  <c r="P50" i="9"/>
  <c r="N50" i="9"/>
  <c r="L38" i="9"/>
  <c r="N37" i="9"/>
  <c r="M21" i="9"/>
  <c r="K10" i="9"/>
  <c r="K20" i="13" l="1"/>
  <c r="Q31" i="13"/>
  <c r="K34" i="13"/>
  <c r="S58" i="13" s="1"/>
  <c r="K18" i="12"/>
  <c r="K22" i="12" s="1"/>
  <c r="L58" i="12" s="1"/>
  <c r="Q27" i="12"/>
  <c r="K30" i="12"/>
  <c r="S57" i="12" s="1"/>
  <c r="K24" i="9"/>
  <c r="S50" i="9" s="1"/>
  <c r="Q21" i="9"/>
  <c r="Q28" i="10"/>
  <c r="K31" i="10"/>
  <c r="S57" i="10" s="1"/>
  <c r="K24" i="13"/>
  <c r="K26" i="13" s="1"/>
  <c r="O46" i="13" s="1"/>
  <c r="K19" i="10"/>
  <c r="K23" i="10" s="1"/>
  <c r="L58" i="10" s="1"/>
  <c r="K16" i="9"/>
  <c r="N7" i="3"/>
  <c r="O7" i="3" s="1"/>
  <c r="N5" i="3"/>
  <c r="O5" i="3" s="1"/>
  <c r="N6" i="3"/>
  <c r="O6" i="3" s="1"/>
  <c r="P43" i="12" l="1"/>
  <c r="K47" i="10"/>
  <c r="P37" i="9"/>
  <c r="P44" i="10"/>
  <c r="P45" i="13"/>
  <c r="K48" i="13"/>
  <c r="K61" i="13"/>
  <c r="L59" i="13"/>
  <c r="K60" i="12"/>
  <c r="O44" i="12"/>
  <c r="K46" i="12"/>
  <c r="O45" i="10"/>
  <c r="K60" i="10"/>
  <c r="O38" i="9"/>
  <c r="L51" i="9"/>
  <c r="K53" i="9"/>
  <c r="K40" i="9"/>
  <c r="J49" i="6"/>
  <c r="I49" i="6"/>
  <c r="H49" i="6"/>
  <c r="G49" i="6"/>
  <c r="J48" i="6"/>
  <c r="I48" i="6"/>
  <c r="H48" i="6"/>
  <c r="G48" i="6"/>
  <c r="J47" i="6"/>
  <c r="I47" i="6"/>
  <c r="H47" i="6"/>
  <c r="G47" i="6"/>
  <c r="J46" i="6"/>
  <c r="I46" i="6"/>
  <c r="H46" i="6"/>
  <c r="G46" i="6"/>
  <c r="J45" i="6"/>
  <c r="I45" i="6"/>
  <c r="H45" i="6"/>
  <c r="G45" i="6"/>
  <c r="J44" i="6"/>
  <c r="I44" i="6"/>
  <c r="H44" i="6"/>
  <c r="G44" i="6"/>
  <c r="J43" i="6"/>
  <c r="I43" i="6"/>
  <c r="H43" i="6"/>
  <c r="G43" i="6"/>
  <c r="J42" i="6"/>
  <c r="I42" i="6"/>
  <c r="H42" i="6"/>
  <c r="G42" i="6"/>
  <c r="J41" i="6"/>
  <c r="I41" i="6"/>
  <c r="H41" i="6"/>
  <c r="G41" i="6"/>
  <c r="J40" i="6"/>
  <c r="I40" i="6"/>
  <c r="H40" i="6"/>
  <c r="G40" i="6"/>
  <c r="J39" i="6"/>
  <c r="I39" i="6"/>
  <c r="H39" i="6"/>
  <c r="G39" i="6"/>
  <c r="J38" i="6"/>
  <c r="I38" i="6"/>
  <c r="H38" i="6"/>
  <c r="G38" i="6"/>
  <c r="J37" i="6"/>
  <c r="I37" i="6"/>
  <c r="H37" i="6"/>
  <c r="G37" i="6"/>
  <c r="J36" i="6"/>
  <c r="I36" i="6"/>
  <c r="H36" i="6"/>
  <c r="G36" i="6"/>
  <c r="J35" i="6"/>
  <c r="I35" i="6"/>
  <c r="H35" i="6"/>
  <c r="G35" i="6"/>
  <c r="J34" i="6"/>
  <c r="I34" i="6"/>
  <c r="H34" i="6"/>
  <c r="G34" i="6"/>
  <c r="J33" i="6"/>
  <c r="I33" i="6"/>
  <c r="H33" i="6"/>
  <c r="G33" i="6"/>
  <c r="J32" i="6"/>
  <c r="I32" i="6"/>
  <c r="H32" i="6"/>
  <c r="G32" i="6"/>
  <c r="J31" i="6"/>
  <c r="I31" i="6"/>
  <c r="H31" i="6"/>
  <c r="G31" i="6"/>
  <c r="J30" i="6"/>
  <c r="I30" i="6"/>
  <c r="H30" i="6"/>
  <c r="G30" i="6"/>
  <c r="J29" i="6"/>
  <c r="I29" i="6"/>
  <c r="H29" i="6"/>
  <c r="G29" i="6"/>
  <c r="J28" i="6"/>
  <c r="I28" i="6"/>
  <c r="H28" i="6"/>
  <c r="G28" i="6"/>
  <c r="J27" i="6"/>
  <c r="I27" i="6"/>
  <c r="H27" i="6"/>
  <c r="G27" i="6"/>
  <c r="J26" i="6"/>
  <c r="I26" i="6"/>
  <c r="H26" i="6"/>
  <c r="G26" i="6"/>
  <c r="J25" i="6"/>
  <c r="I25" i="6"/>
  <c r="H25" i="6"/>
  <c r="G25" i="6"/>
  <c r="J24" i="6"/>
  <c r="I24" i="6"/>
  <c r="H24" i="6"/>
  <c r="G24" i="6"/>
  <c r="J23" i="6"/>
  <c r="I23" i="6"/>
  <c r="H23" i="6"/>
  <c r="G23" i="6"/>
  <c r="J22" i="6"/>
  <c r="I22" i="6"/>
  <c r="H22" i="6"/>
  <c r="G22" i="6"/>
  <c r="J21" i="6"/>
  <c r="I21" i="6"/>
  <c r="H21" i="6"/>
  <c r="G21" i="6"/>
  <c r="J20" i="6"/>
  <c r="I20" i="6"/>
  <c r="H20" i="6"/>
  <c r="G20" i="6"/>
  <c r="J19" i="6"/>
  <c r="I19" i="6"/>
  <c r="H19" i="6"/>
  <c r="G19" i="6"/>
  <c r="J18" i="6"/>
  <c r="I18" i="6"/>
  <c r="H18" i="6"/>
  <c r="G18" i="6"/>
  <c r="J17" i="6"/>
  <c r="I17" i="6"/>
  <c r="H17" i="6"/>
  <c r="G17" i="6"/>
  <c r="J16" i="6"/>
  <c r="I16" i="6"/>
  <c r="H16" i="6"/>
  <c r="G16" i="6"/>
  <c r="J15" i="6"/>
  <c r="I15" i="6"/>
  <c r="H15" i="6"/>
  <c r="G15" i="6"/>
  <c r="J14" i="6"/>
  <c r="I14" i="6"/>
  <c r="H14" i="6"/>
  <c r="G14" i="6"/>
  <c r="J13" i="6"/>
  <c r="I13" i="6"/>
  <c r="H13" i="6"/>
  <c r="G13" i="6"/>
  <c r="J12" i="6"/>
  <c r="I12" i="6"/>
  <c r="H12" i="6"/>
  <c r="G12" i="6"/>
  <c r="J11" i="6"/>
  <c r="I11" i="6"/>
  <c r="H11" i="6"/>
  <c r="G11" i="6"/>
  <c r="J10" i="6"/>
  <c r="I10" i="6"/>
  <c r="H10" i="6"/>
  <c r="G10" i="6"/>
  <c r="J9" i="6"/>
  <c r="I9" i="6"/>
  <c r="H9" i="6"/>
  <c r="G9" i="6"/>
  <c r="J8" i="6"/>
  <c r="I8" i="6"/>
  <c r="H8" i="6"/>
  <c r="G8" i="6"/>
  <c r="J7" i="6"/>
  <c r="I7" i="6"/>
  <c r="H7" i="6"/>
  <c r="G7" i="6"/>
  <c r="J6" i="6"/>
  <c r="I6" i="6"/>
  <c r="H6" i="6"/>
  <c r="G6" i="6"/>
  <c r="J5" i="6"/>
  <c r="I5" i="6"/>
  <c r="H5" i="6"/>
  <c r="G5" i="6"/>
  <c r="J4" i="6"/>
  <c r="I4" i="6"/>
  <c r="H4" i="6"/>
  <c r="G4" i="6"/>
  <c r="J3" i="6"/>
  <c r="I3" i="6"/>
  <c r="H3" i="6"/>
  <c r="G3" i="6"/>
  <c r="H4" i="5"/>
  <c r="F4" i="5" s="1"/>
  <c r="H5" i="5"/>
  <c r="F5" i="5" s="1"/>
  <c r="H6" i="5"/>
  <c r="F6" i="5" s="1"/>
  <c r="H7" i="5"/>
  <c r="F7" i="5" s="1"/>
  <c r="H8" i="5"/>
  <c r="F8" i="5" s="1"/>
  <c r="H9" i="5"/>
  <c r="F9" i="5" s="1"/>
  <c r="H10" i="5"/>
  <c r="F10" i="5" s="1"/>
  <c r="H11" i="5"/>
  <c r="F11" i="5" s="1"/>
  <c r="H12" i="5"/>
  <c r="F12" i="5" s="1"/>
  <c r="H13" i="5"/>
  <c r="F13" i="5" s="1"/>
  <c r="H14" i="5"/>
  <c r="F14" i="5" s="1"/>
  <c r="H15" i="5"/>
  <c r="F15" i="5" s="1"/>
  <c r="H16" i="5"/>
  <c r="F16" i="5" s="1"/>
  <c r="H17" i="5"/>
  <c r="F17" i="5" s="1"/>
  <c r="H18" i="5"/>
  <c r="F18" i="5" s="1"/>
  <c r="H19" i="5"/>
  <c r="F19" i="5" s="1"/>
  <c r="H20" i="5"/>
  <c r="F20" i="5" s="1"/>
  <c r="H21" i="5"/>
  <c r="F21" i="5" s="1"/>
  <c r="H22" i="5"/>
  <c r="F22" i="5" s="1"/>
  <c r="H23" i="5"/>
  <c r="F23" i="5" s="1"/>
  <c r="H24" i="5"/>
  <c r="F24" i="5" s="1"/>
  <c r="H25" i="5"/>
  <c r="F25" i="5" s="1"/>
  <c r="H26" i="5"/>
  <c r="F26" i="5" s="1"/>
  <c r="H27" i="5"/>
  <c r="F27" i="5" s="1"/>
  <c r="H28" i="5"/>
  <c r="F28" i="5" s="1"/>
  <c r="H29" i="5"/>
  <c r="F29" i="5" s="1"/>
  <c r="H30" i="5"/>
  <c r="F30" i="5" s="1"/>
  <c r="H31" i="5"/>
  <c r="F31" i="5" s="1"/>
  <c r="H32" i="5"/>
  <c r="F32" i="5" s="1"/>
  <c r="H33" i="5"/>
  <c r="F33" i="5" s="1"/>
  <c r="H34" i="5"/>
  <c r="F34" i="5" s="1"/>
  <c r="H35" i="5"/>
  <c r="F35" i="5" s="1"/>
  <c r="H36" i="5"/>
  <c r="F36" i="5" s="1"/>
  <c r="H37" i="5"/>
  <c r="F37" i="5" s="1"/>
  <c r="H38" i="5"/>
  <c r="F38" i="5" s="1"/>
  <c r="H39" i="5"/>
  <c r="F39" i="5" s="1"/>
  <c r="H40" i="5"/>
  <c r="F40" i="5" s="1"/>
  <c r="H41" i="5"/>
  <c r="F41" i="5" s="1"/>
  <c r="H42" i="5"/>
  <c r="F42" i="5" s="1"/>
  <c r="H43" i="5"/>
  <c r="F43" i="5" s="1"/>
  <c r="H44" i="5"/>
  <c r="F44" i="5" s="1"/>
  <c r="H45" i="5"/>
  <c r="F45" i="5" s="1"/>
  <c r="H46" i="5"/>
  <c r="F46" i="5" s="1"/>
  <c r="H47" i="5"/>
  <c r="F47" i="5" s="1"/>
  <c r="H48" i="5"/>
  <c r="F48" i="5" s="1"/>
  <c r="H49" i="5"/>
  <c r="F49" i="5" s="1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J49" i="5"/>
  <c r="I49" i="5"/>
  <c r="J48" i="5"/>
  <c r="I48" i="5"/>
  <c r="J47" i="5"/>
  <c r="I47" i="5"/>
  <c r="J46" i="5"/>
  <c r="I46" i="5"/>
  <c r="J45" i="5"/>
  <c r="I45" i="5"/>
  <c r="J44" i="5"/>
  <c r="I44" i="5"/>
  <c r="J43" i="5"/>
  <c r="I43" i="5"/>
  <c r="J42" i="5"/>
  <c r="I42" i="5"/>
  <c r="J41" i="5"/>
  <c r="I41" i="5"/>
  <c r="J40" i="5"/>
  <c r="I40" i="5"/>
  <c r="J39" i="5"/>
  <c r="I39" i="5"/>
  <c r="J38" i="5"/>
  <c r="I38" i="5"/>
  <c r="J37" i="5"/>
  <c r="I37" i="5"/>
  <c r="J36" i="5"/>
  <c r="I36" i="5"/>
  <c r="J35" i="5"/>
  <c r="I35" i="5"/>
  <c r="J34" i="5"/>
  <c r="I34" i="5"/>
  <c r="J33" i="5"/>
  <c r="I33" i="5"/>
  <c r="J32" i="5"/>
  <c r="I32" i="5"/>
  <c r="J31" i="5"/>
  <c r="I31" i="5"/>
  <c r="J30" i="5"/>
  <c r="I30" i="5"/>
  <c r="J29" i="5"/>
  <c r="I29" i="5"/>
  <c r="J28" i="5"/>
  <c r="I28" i="5"/>
  <c r="J27" i="5"/>
  <c r="I27" i="5"/>
  <c r="J26" i="5"/>
  <c r="I26" i="5"/>
  <c r="J25" i="5"/>
  <c r="I25" i="5"/>
  <c r="J24" i="5"/>
  <c r="I24" i="5"/>
  <c r="J23" i="5"/>
  <c r="I23" i="5"/>
  <c r="J22" i="5"/>
  <c r="I22" i="5"/>
  <c r="J21" i="5"/>
  <c r="I21" i="5"/>
  <c r="J20" i="5"/>
  <c r="I20" i="5"/>
  <c r="J19" i="5"/>
  <c r="I19" i="5"/>
  <c r="J18" i="5"/>
  <c r="I18" i="5"/>
  <c r="J17" i="5"/>
  <c r="I17" i="5"/>
  <c r="J16" i="5"/>
  <c r="I16" i="5"/>
  <c r="J15" i="5"/>
  <c r="I15" i="5"/>
  <c r="J14" i="5"/>
  <c r="I14" i="5"/>
  <c r="J13" i="5"/>
  <c r="I13" i="5"/>
  <c r="J12" i="5"/>
  <c r="I12" i="5"/>
  <c r="J11" i="5"/>
  <c r="I11" i="5"/>
  <c r="J10" i="5"/>
  <c r="I10" i="5"/>
  <c r="J9" i="5"/>
  <c r="I9" i="5"/>
  <c r="J8" i="5"/>
  <c r="I8" i="5"/>
  <c r="J7" i="5"/>
  <c r="I7" i="5"/>
  <c r="J6" i="5"/>
  <c r="I6" i="5"/>
  <c r="J5" i="5"/>
  <c r="I5" i="5"/>
  <c r="J4" i="5"/>
  <c r="I4" i="5"/>
  <c r="J3" i="5"/>
  <c r="I3" i="5"/>
  <c r="H3" i="5"/>
  <c r="F3" i="5" s="1"/>
  <c r="G3" i="5"/>
  <c r="G4" i="4"/>
  <c r="F4" i="4" s="1"/>
  <c r="G5" i="4"/>
  <c r="F5" i="4" s="1"/>
  <c r="G6" i="4"/>
  <c r="F6" i="4" s="1"/>
  <c r="G7" i="4"/>
  <c r="F7" i="4" s="1"/>
  <c r="G8" i="4"/>
  <c r="F8" i="4" s="1"/>
  <c r="G9" i="4"/>
  <c r="F9" i="4" s="1"/>
  <c r="G10" i="4"/>
  <c r="F10" i="4" s="1"/>
  <c r="G11" i="4"/>
  <c r="F11" i="4" s="1"/>
  <c r="G12" i="4"/>
  <c r="F12" i="4" s="1"/>
  <c r="G13" i="4"/>
  <c r="F13" i="4" s="1"/>
  <c r="G14" i="4"/>
  <c r="F14" i="4" s="1"/>
  <c r="G15" i="4"/>
  <c r="F15" i="4" s="1"/>
  <c r="G16" i="4"/>
  <c r="F16" i="4" s="1"/>
  <c r="G17" i="4"/>
  <c r="F17" i="4" s="1"/>
  <c r="G18" i="4"/>
  <c r="F18" i="4" s="1"/>
  <c r="G19" i="4"/>
  <c r="F19" i="4" s="1"/>
  <c r="G20" i="4"/>
  <c r="F20" i="4" s="1"/>
  <c r="G21" i="4"/>
  <c r="F21" i="4" s="1"/>
  <c r="G22" i="4"/>
  <c r="F22" i="4" s="1"/>
  <c r="G23" i="4"/>
  <c r="F23" i="4" s="1"/>
  <c r="G24" i="4"/>
  <c r="F24" i="4" s="1"/>
  <c r="G25" i="4"/>
  <c r="F25" i="4" s="1"/>
  <c r="G26" i="4"/>
  <c r="F26" i="4" s="1"/>
  <c r="G27" i="4"/>
  <c r="F27" i="4" s="1"/>
  <c r="G28" i="4"/>
  <c r="F28" i="4" s="1"/>
  <c r="G29" i="4"/>
  <c r="F29" i="4" s="1"/>
  <c r="G30" i="4"/>
  <c r="F30" i="4" s="1"/>
  <c r="G31" i="4"/>
  <c r="F31" i="4" s="1"/>
  <c r="G32" i="4"/>
  <c r="F32" i="4" s="1"/>
  <c r="G33" i="4"/>
  <c r="F33" i="4" s="1"/>
  <c r="G34" i="4"/>
  <c r="F34" i="4" s="1"/>
  <c r="G35" i="4"/>
  <c r="F35" i="4" s="1"/>
  <c r="G36" i="4"/>
  <c r="F36" i="4" s="1"/>
  <c r="G37" i="4"/>
  <c r="F37" i="4" s="1"/>
  <c r="G38" i="4"/>
  <c r="F38" i="4" s="1"/>
  <c r="G39" i="4"/>
  <c r="F39" i="4" s="1"/>
  <c r="G40" i="4"/>
  <c r="F40" i="4" s="1"/>
  <c r="G41" i="4"/>
  <c r="F41" i="4" s="1"/>
  <c r="G42" i="4"/>
  <c r="F42" i="4" s="1"/>
  <c r="G43" i="4"/>
  <c r="F43" i="4" s="1"/>
  <c r="G44" i="4"/>
  <c r="F44" i="4" s="1"/>
  <c r="G45" i="4"/>
  <c r="F45" i="4" s="1"/>
  <c r="G46" i="4"/>
  <c r="F46" i="4" s="1"/>
  <c r="G47" i="4"/>
  <c r="F47" i="4" s="1"/>
  <c r="G48" i="4"/>
  <c r="F48" i="4" s="1"/>
  <c r="G49" i="4"/>
  <c r="F49" i="4" s="1"/>
  <c r="G3" i="4"/>
  <c r="F3" i="4" s="1"/>
  <c r="J49" i="4"/>
  <c r="I49" i="4"/>
  <c r="H49" i="4"/>
  <c r="J48" i="4"/>
  <c r="I48" i="4"/>
  <c r="H48" i="4"/>
  <c r="J47" i="4"/>
  <c r="I47" i="4"/>
  <c r="H47" i="4"/>
  <c r="J46" i="4"/>
  <c r="I46" i="4"/>
  <c r="H46" i="4"/>
  <c r="J45" i="4"/>
  <c r="I45" i="4"/>
  <c r="H45" i="4"/>
  <c r="J44" i="4"/>
  <c r="I44" i="4"/>
  <c r="H44" i="4"/>
  <c r="J43" i="4"/>
  <c r="I43" i="4"/>
  <c r="H43" i="4"/>
  <c r="J42" i="4"/>
  <c r="I42" i="4"/>
  <c r="H42" i="4"/>
  <c r="J41" i="4"/>
  <c r="I41" i="4"/>
  <c r="H41" i="4"/>
  <c r="J40" i="4"/>
  <c r="I40" i="4"/>
  <c r="H40" i="4"/>
  <c r="J39" i="4"/>
  <c r="I39" i="4"/>
  <c r="H39" i="4"/>
  <c r="J38" i="4"/>
  <c r="I38" i="4"/>
  <c r="H38" i="4"/>
  <c r="J37" i="4"/>
  <c r="I37" i="4"/>
  <c r="H37" i="4"/>
  <c r="J36" i="4"/>
  <c r="I36" i="4"/>
  <c r="H36" i="4"/>
  <c r="J35" i="4"/>
  <c r="I35" i="4"/>
  <c r="H35" i="4"/>
  <c r="J34" i="4"/>
  <c r="I34" i="4"/>
  <c r="H34" i="4"/>
  <c r="J33" i="4"/>
  <c r="I33" i="4"/>
  <c r="H33" i="4"/>
  <c r="J32" i="4"/>
  <c r="I32" i="4"/>
  <c r="H32" i="4"/>
  <c r="J31" i="4"/>
  <c r="I31" i="4"/>
  <c r="H31" i="4"/>
  <c r="J30" i="4"/>
  <c r="I30" i="4"/>
  <c r="H30" i="4"/>
  <c r="J29" i="4"/>
  <c r="I29" i="4"/>
  <c r="H29" i="4"/>
  <c r="J28" i="4"/>
  <c r="I28" i="4"/>
  <c r="H28" i="4"/>
  <c r="J27" i="4"/>
  <c r="I27" i="4"/>
  <c r="H27" i="4"/>
  <c r="J26" i="4"/>
  <c r="I26" i="4"/>
  <c r="H26" i="4"/>
  <c r="J25" i="4"/>
  <c r="I25" i="4"/>
  <c r="H25" i="4"/>
  <c r="J24" i="4"/>
  <c r="I24" i="4"/>
  <c r="H24" i="4"/>
  <c r="J23" i="4"/>
  <c r="I23" i="4"/>
  <c r="H23" i="4"/>
  <c r="J22" i="4"/>
  <c r="I22" i="4"/>
  <c r="H22" i="4"/>
  <c r="J21" i="4"/>
  <c r="I21" i="4"/>
  <c r="H21" i="4"/>
  <c r="J20" i="4"/>
  <c r="I20" i="4"/>
  <c r="H20" i="4"/>
  <c r="J19" i="4"/>
  <c r="I19" i="4"/>
  <c r="H19" i="4"/>
  <c r="J18" i="4"/>
  <c r="I18" i="4"/>
  <c r="H18" i="4"/>
  <c r="J17" i="4"/>
  <c r="I17" i="4"/>
  <c r="H17" i="4"/>
  <c r="J16" i="4"/>
  <c r="I16" i="4"/>
  <c r="H16" i="4"/>
  <c r="J15" i="4"/>
  <c r="I15" i="4"/>
  <c r="H15" i="4"/>
  <c r="J14" i="4"/>
  <c r="I14" i="4"/>
  <c r="H14" i="4"/>
  <c r="J13" i="4"/>
  <c r="I13" i="4"/>
  <c r="H13" i="4"/>
  <c r="J12" i="4"/>
  <c r="I12" i="4"/>
  <c r="H12" i="4"/>
  <c r="J11" i="4"/>
  <c r="I11" i="4"/>
  <c r="H11" i="4"/>
  <c r="J10" i="4"/>
  <c r="I10" i="4"/>
  <c r="H10" i="4"/>
  <c r="J9" i="4"/>
  <c r="I9" i="4"/>
  <c r="H9" i="4"/>
  <c r="J8" i="4"/>
  <c r="I8" i="4"/>
  <c r="H8" i="4"/>
  <c r="J7" i="4"/>
  <c r="I7" i="4"/>
  <c r="H7" i="4"/>
  <c r="J6" i="4"/>
  <c r="I6" i="4"/>
  <c r="H6" i="4"/>
  <c r="J5" i="4"/>
  <c r="I5" i="4"/>
  <c r="H5" i="4"/>
  <c r="J4" i="4"/>
  <c r="I4" i="4"/>
  <c r="H4" i="4"/>
  <c r="J3" i="4"/>
  <c r="I3" i="4"/>
  <c r="H3" i="4"/>
  <c r="K65" i="10" l="1"/>
  <c r="Q80" i="10" s="1"/>
  <c r="K65" i="12"/>
  <c r="Q80" i="12" s="1"/>
  <c r="F3" i="6"/>
  <c r="W3" i="6" s="1"/>
  <c r="F7" i="6"/>
  <c r="N7" i="6" s="1"/>
  <c r="F9" i="6"/>
  <c r="W9" i="6" s="1"/>
  <c r="F11" i="6"/>
  <c r="N11" i="6" s="1"/>
  <c r="F13" i="6"/>
  <c r="W13" i="6" s="1"/>
  <c r="F15" i="6"/>
  <c r="L15" i="6" s="1"/>
  <c r="F17" i="6"/>
  <c r="O17" i="6" s="1"/>
  <c r="F19" i="6"/>
  <c r="N19" i="6" s="1"/>
  <c r="K66" i="13"/>
  <c r="Q82" i="13" s="1"/>
  <c r="K58" i="9"/>
  <c r="Q73" i="9" s="1"/>
  <c r="F4" i="6"/>
  <c r="O4" i="6" s="1"/>
  <c r="F6" i="6"/>
  <c r="N6" i="6" s="1"/>
  <c r="F8" i="6"/>
  <c r="V8" i="6" s="1"/>
  <c r="F12" i="6"/>
  <c r="M12" i="6" s="1"/>
  <c r="F16" i="6"/>
  <c r="L16" i="6" s="1"/>
  <c r="F18" i="6"/>
  <c r="M18" i="6" s="1"/>
  <c r="F20" i="6"/>
  <c r="V20" i="6" s="1"/>
  <c r="F22" i="6"/>
  <c r="N22" i="6" s="1"/>
  <c r="F24" i="6"/>
  <c r="V24" i="6" s="1"/>
  <c r="F26" i="6"/>
  <c r="V26" i="6" s="1"/>
  <c r="F28" i="6"/>
  <c r="N28" i="6" s="1"/>
  <c r="F30" i="6"/>
  <c r="O30" i="6" s="1"/>
  <c r="F32" i="6"/>
  <c r="N32" i="6" s="1"/>
  <c r="F34" i="6"/>
  <c r="L34" i="6" s="1"/>
  <c r="F36" i="6"/>
  <c r="O36" i="6" s="1"/>
  <c r="F38" i="6"/>
  <c r="V38" i="6" s="1"/>
  <c r="F42" i="6"/>
  <c r="W42" i="6" s="1"/>
  <c r="F44" i="6"/>
  <c r="N44" i="6" s="1"/>
  <c r="F48" i="6"/>
  <c r="V48" i="6" s="1"/>
  <c r="F21" i="6"/>
  <c r="V21" i="6" s="1"/>
  <c r="F23" i="6"/>
  <c r="W23" i="6" s="1"/>
  <c r="F25" i="6"/>
  <c r="M25" i="6" s="1"/>
  <c r="F27" i="6"/>
  <c r="K27" i="6" s="1"/>
  <c r="F29" i="6"/>
  <c r="M29" i="6" s="1"/>
  <c r="F31" i="6"/>
  <c r="O31" i="6" s="1"/>
  <c r="F33" i="6"/>
  <c r="K33" i="6" s="1"/>
  <c r="F35" i="6"/>
  <c r="M35" i="6" s="1"/>
  <c r="F37" i="6"/>
  <c r="M37" i="6" s="1"/>
  <c r="F39" i="6"/>
  <c r="M39" i="6" s="1"/>
  <c r="F41" i="6"/>
  <c r="N41" i="6" s="1"/>
  <c r="F43" i="6"/>
  <c r="N43" i="6" s="1"/>
  <c r="F45" i="6"/>
  <c r="L45" i="6" s="1"/>
  <c r="F47" i="6"/>
  <c r="M47" i="6" s="1"/>
  <c r="F49" i="6"/>
  <c r="O49" i="6" s="1"/>
  <c r="K5" i="5"/>
  <c r="N44" i="5"/>
  <c r="O21" i="5"/>
  <c r="K13" i="4"/>
  <c r="K47" i="5"/>
  <c r="O14" i="5"/>
  <c r="W15" i="5"/>
  <c r="N6" i="5"/>
  <c r="N14" i="5"/>
  <c r="K8" i="5"/>
  <c r="V46" i="4"/>
  <c r="W30" i="4"/>
  <c r="K14" i="4"/>
  <c r="K6" i="4"/>
  <c r="M20" i="5"/>
  <c r="M32" i="5"/>
  <c r="O44" i="5"/>
  <c r="N24" i="5"/>
  <c r="N36" i="5"/>
  <c r="K3" i="5"/>
  <c r="O6" i="5"/>
  <c r="M49" i="5"/>
  <c r="M45" i="5"/>
  <c r="K32" i="4"/>
  <c r="L14" i="4"/>
  <c r="V4" i="4"/>
  <c r="V22" i="4"/>
  <c r="K38" i="4"/>
  <c r="K22" i="4"/>
  <c r="M16" i="4"/>
  <c r="O44" i="4"/>
  <c r="N45" i="5"/>
  <c r="L37" i="5"/>
  <c r="K12" i="4"/>
  <c r="K30" i="4"/>
  <c r="K45" i="4"/>
  <c r="M14" i="4"/>
  <c r="K21" i="5"/>
  <c r="L45" i="5"/>
  <c r="F5" i="6"/>
  <c r="M5" i="6" s="1"/>
  <c r="K29" i="4"/>
  <c r="O30" i="4"/>
  <c r="W32" i="4"/>
  <c r="K26" i="4"/>
  <c r="W36" i="5"/>
  <c r="O24" i="5"/>
  <c r="N20" i="5"/>
  <c r="M15" i="5"/>
  <c r="L8" i="5"/>
  <c r="V42" i="5"/>
  <c r="F40" i="6"/>
  <c r="W40" i="6" s="1"/>
  <c r="K16" i="4"/>
  <c r="O24" i="4"/>
  <c r="V39" i="5"/>
  <c r="N32" i="5"/>
  <c r="W28" i="5"/>
  <c r="K16" i="5"/>
  <c r="V7" i="5"/>
  <c r="F46" i="6"/>
  <c r="K46" i="6" s="1"/>
  <c r="F14" i="6"/>
  <c r="O14" i="6" s="1"/>
  <c r="F10" i="6"/>
  <c r="K10" i="6" s="1"/>
  <c r="L41" i="5"/>
  <c r="N41" i="5"/>
  <c r="M25" i="5"/>
  <c r="L33" i="5"/>
  <c r="M33" i="5"/>
  <c r="W24" i="5"/>
  <c r="W32" i="5"/>
  <c r="K12" i="5"/>
  <c r="O4" i="5"/>
  <c r="M24" i="5"/>
  <c r="M36" i="5"/>
  <c r="M28" i="5"/>
  <c r="O48" i="5"/>
  <c r="N28" i="5"/>
  <c r="O36" i="5"/>
  <c r="O20" i="5"/>
  <c r="O32" i="5"/>
  <c r="L16" i="5"/>
  <c r="O28" i="5"/>
  <c r="M7" i="5"/>
  <c r="V15" i="5"/>
  <c r="K31" i="5"/>
  <c r="W7" i="5"/>
  <c r="K39" i="5"/>
  <c r="K15" i="5"/>
  <c r="V43" i="5"/>
  <c r="M11" i="5"/>
  <c r="N11" i="5"/>
  <c r="K27" i="5"/>
  <c r="K35" i="5"/>
  <c r="K43" i="5"/>
  <c r="N19" i="5"/>
  <c r="K9" i="5"/>
  <c r="K17" i="5"/>
  <c r="L18" i="5"/>
  <c r="V18" i="5"/>
  <c r="N18" i="5"/>
  <c r="M18" i="5"/>
  <c r="W18" i="5"/>
  <c r="O18" i="5"/>
  <c r="K22" i="5"/>
  <c r="M22" i="5"/>
  <c r="W22" i="5"/>
  <c r="L22" i="5"/>
  <c r="V22" i="5"/>
  <c r="O22" i="5"/>
  <c r="N22" i="5"/>
  <c r="L34" i="5"/>
  <c r="O34" i="5"/>
  <c r="N34" i="5"/>
  <c r="M34" i="5"/>
  <c r="W34" i="5"/>
  <c r="V34" i="5"/>
  <c r="W46" i="5"/>
  <c r="V46" i="5"/>
  <c r="L10" i="5"/>
  <c r="V10" i="5"/>
  <c r="W10" i="5"/>
  <c r="M10" i="5"/>
  <c r="O10" i="5"/>
  <c r="N10" i="5"/>
  <c r="K29" i="5"/>
  <c r="V30" i="5"/>
  <c r="K18" i="5"/>
  <c r="M40" i="5"/>
  <c r="L40" i="5"/>
  <c r="W40" i="5"/>
  <c r="V40" i="5"/>
  <c r="K46" i="5"/>
  <c r="W5" i="5"/>
  <c r="O5" i="5"/>
  <c r="V5" i="5"/>
  <c r="N5" i="5"/>
  <c r="L14" i="5"/>
  <c r="L38" i="5"/>
  <c r="O38" i="5"/>
  <c r="N38" i="5"/>
  <c r="M38" i="5"/>
  <c r="W38" i="5"/>
  <c r="V6" i="5"/>
  <c r="V14" i="5"/>
  <c r="V20" i="5"/>
  <c r="L20" i="5"/>
  <c r="K20" i="5"/>
  <c r="W23" i="5"/>
  <c r="O23" i="5"/>
  <c r="V23" i="5"/>
  <c r="N23" i="5"/>
  <c r="M23" i="5"/>
  <c r="L23" i="5"/>
  <c r="K42" i="5"/>
  <c r="L3" i="5"/>
  <c r="L5" i="5"/>
  <c r="W6" i="5"/>
  <c r="V11" i="5"/>
  <c r="L12" i="5"/>
  <c r="W14" i="5"/>
  <c r="L29" i="5"/>
  <c r="W31" i="5"/>
  <c r="O31" i="5"/>
  <c r="V31" i="5"/>
  <c r="N31" i="5"/>
  <c r="M31" i="5"/>
  <c r="L31" i="5"/>
  <c r="N48" i="5"/>
  <c r="M5" i="5"/>
  <c r="K6" i="5"/>
  <c r="W11" i="5"/>
  <c r="K14" i="5"/>
  <c r="N15" i="5"/>
  <c r="M29" i="5"/>
  <c r="K33" i="5"/>
  <c r="K38" i="5"/>
  <c r="M41" i="5"/>
  <c r="W43" i="5"/>
  <c r="O43" i="5"/>
  <c r="N43" i="5"/>
  <c r="M43" i="5"/>
  <c r="L43" i="5"/>
  <c r="V45" i="5"/>
  <c r="K45" i="5"/>
  <c r="L49" i="5"/>
  <c r="L9" i="5"/>
  <c r="O9" i="5"/>
  <c r="W9" i="5"/>
  <c r="N9" i="5"/>
  <c r="V9" i="5"/>
  <c r="M9" i="5"/>
  <c r="L30" i="5"/>
  <c r="O30" i="5"/>
  <c r="N30" i="5"/>
  <c r="M30" i="5"/>
  <c r="W30" i="5"/>
  <c r="W42" i="5"/>
  <c r="K10" i="5"/>
  <c r="W35" i="5"/>
  <c r="O35" i="5"/>
  <c r="V35" i="5"/>
  <c r="N35" i="5"/>
  <c r="M35" i="5"/>
  <c r="L35" i="5"/>
  <c r="W3" i="5"/>
  <c r="O3" i="5"/>
  <c r="M3" i="5"/>
  <c r="V3" i="5"/>
  <c r="N3" i="5"/>
  <c r="O11" i="5"/>
  <c r="K23" i="5"/>
  <c r="W47" i="5"/>
  <c r="O47" i="5"/>
  <c r="V47" i="5"/>
  <c r="N47" i="5"/>
  <c r="M47" i="5"/>
  <c r="L47" i="5"/>
  <c r="O7" i="5"/>
  <c r="K13" i="5"/>
  <c r="L26" i="5"/>
  <c r="O26" i="5"/>
  <c r="N26" i="5"/>
  <c r="M26" i="5"/>
  <c r="W26" i="5"/>
  <c r="M48" i="5"/>
  <c r="L48" i="5"/>
  <c r="W48" i="5"/>
  <c r="V48" i="5"/>
  <c r="K4" i="5"/>
  <c r="L7" i="5"/>
  <c r="L13" i="5"/>
  <c r="O13" i="5"/>
  <c r="W13" i="5"/>
  <c r="N13" i="5"/>
  <c r="V13" i="5"/>
  <c r="M13" i="5"/>
  <c r="W20" i="5"/>
  <c r="N4" i="5"/>
  <c r="N7" i="5"/>
  <c r="V8" i="5"/>
  <c r="O8" i="5"/>
  <c r="M8" i="5"/>
  <c r="W8" i="5"/>
  <c r="N8" i="5"/>
  <c r="O15" i="5"/>
  <c r="O16" i="5"/>
  <c r="W16" i="5"/>
  <c r="N16" i="5"/>
  <c r="V16" i="5"/>
  <c r="M16" i="5"/>
  <c r="L21" i="5"/>
  <c r="W21" i="5"/>
  <c r="K26" i="5"/>
  <c r="L17" i="5"/>
  <c r="O17" i="5"/>
  <c r="W17" i="5"/>
  <c r="N17" i="5"/>
  <c r="V17" i="5"/>
  <c r="M17" i="5"/>
  <c r="K34" i="5"/>
  <c r="V49" i="5"/>
  <c r="K49" i="5"/>
  <c r="W19" i="5"/>
  <c r="K19" i="5"/>
  <c r="V4" i="5"/>
  <c r="O12" i="5"/>
  <c r="V12" i="5"/>
  <c r="W12" i="5"/>
  <c r="N12" i="5"/>
  <c r="M12" i="5"/>
  <c r="K37" i="5"/>
  <c r="V38" i="5"/>
  <c r="N40" i="5"/>
  <c r="W4" i="5"/>
  <c r="K25" i="5"/>
  <c r="V26" i="5"/>
  <c r="K30" i="5"/>
  <c r="O40" i="5"/>
  <c r="K11" i="5"/>
  <c r="M14" i="5"/>
  <c r="O19" i="5"/>
  <c r="L25" i="5"/>
  <c r="W27" i="5"/>
  <c r="O27" i="5"/>
  <c r="V27" i="5"/>
  <c r="N27" i="5"/>
  <c r="M27" i="5"/>
  <c r="L27" i="5"/>
  <c r="M37" i="5"/>
  <c r="W39" i="5"/>
  <c r="O39" i="5"/>
  <c r="N39" i="5"/>
  <c r="M39" i="5"/>
  <c r="L39" i="5"/>
  <c r="V41" i="5"/>
  <c r="K41" i="5"/>
  <c r="M44" i="5"/>
  <c r="L44" i="5"/>
  <c r="W44" i="5"/>
  <c r="V44" i="5"/>
  <c r="N49" i="5"/>
  <c r="L24" i="5"/>
  <c r="L28" i="5"/>
  <c r="L32" i="5"/>
  <c r="L36" i="5"/>
  <c r="M42" i="5"/>
  <c r="L42" i="5"/>
  <c r="M46" i="5"/>
  <c r="L46" i="5"/>
  <c r="V21" i="5"/>
  <c r="N21" i="5"/>
  <c r="M21" i="5"/>
  <c r="N42" i="5"/>
  <c r="N46" i="5"/>
  <c r="L4" i="5"/>
  <c r="L6" i="5"/>
  <c r="M19" i="5"/>
  <c r="L19" i="5"/>
  <c r="V19" i="5"/>
  <c r="W25" i="5"/>
  <c r="O25" i="5"/>
  <c r="V25" i="5"/>
  <c r="N25" i="5"/>
  <c r="W29" i="5"/>
  <c r="O29" i="5"/>
  <c r="V29" i="5"/>
  <c r="N29" i="5"/>
  <c r="W33" i="5"/>
  <c r="O33" i="5"/>
  <c r="V33" i="5"/>
  <c r="N33" i="5"/>
  <c r="W37" i="5"/>
  <c r="O37" i="5"/>
  <c r="V37" i="5"/>
  <c r="N37" i="5"/>
  <c r="W41" i="5"/>
  <c r="O41" i="5"/>
  <c r="O42" i="5"/>
  <c r="W45" i="5"/>
  <c r="O45" i="5"/>
  <c r="O46" i="5"/>
  <c r="W49" i="5"/>
  <c r="O49" i="5"/>
  <c r="M4" i="5"/>
  <c r="M6" i="5"/>
  <c r="K7" i="5"/>
  <c r="L11" i="5"/>
  <c r="L15" i="5"/>
  <c r="K24" i="5"/>
  <c r="V24" i="5"/>
  <c r="K28" i="5"/>
  <c r="V28" i="5"/>
  <c r="K32" i="5"/>
  <c r="V32" i="5"/>
  <c r="K36" i="5"/>
  <c r="V36" i="5"/>
  <c r="K40" i="5"/>
  <c r="K44" i="5"/>
  <c r="K48" i="5"/>
  <c r="V5" i="4"/>
  <c r="L21" i="4"/>
  <c r="O14" i="4"/>
  <c r="W14" i="4"/>
  <c r="L16" i="4"/>
  <c r="K21" i="4"/>
  <c r="W38" i="4"/>
  <c r="N36" i="4"/>
  <c r="V20" i="4"/>
  <c r="O4" i="4"/>
  <c r="K19" i="4"/>
  <c r="V41" i="4"/>
  <c r="O21" i="4"/>
  <c r="L44" i="4"/>
  <c r="L46" i="4"/>
  <c r="K5" i="4"/>
  <c r="V21" i="4"/>
  <c r="O5" i="4"/>
  <c r="W5" i="4"/>
  <c r="M46" i="4"/>
  <c r="W21" i="4"/>
  <c r="L30" i="4"/>
  <c r="K37" i="4"/>
  <c r="N31" i="4"/>
  <c r="W23" i="4"/>
  <c r="L23" i="4"/>
  <c r="M23" i="4"/>
  <c r="K7" i="4"/>
  <c r="M7" i="4"/>
  <c r="L7" i="4"/>
  <c r="O43" i="4"/>
  <c r="N43" i="4"/>
  <c r="M35" i="4"/>
  <c r="V35" i="4"/>
  <c r="N35" i="4"/>
  <c r="L27" i="4"/>
  <c r="N27" i="4"/>
  <c r="M27" i="4"/>
  <c r="O11" i="4"/>
  <c r="K49" i="4"/>
  <c r="O15" i="4"/>
  <c r="M10" i="4"/>
  <c r="L42" i="4"/>
  <c r="K18" i="4"/>
  <c r="M25" i="4"/>
  <c r="M20" i="4"/>
  <c r="O36" i="4"/>
  <c r="O40" i="4"/>
  <c r="K36" i="4"/>
  <c r="M12" i="4"/>
  <c r="M4" i="4"/>
  <c r="N20" i="4"/>
  <c r="W44" i="4"/>
  <c r="N4" i="4"/>
  <c r="V12" i="4"/>
  <c r="V17" i="4"/>
  <c r="L19" i="4"/>
  <c r="O20" i="4"/>
  <c r="V32" i="4"/>
  <c r="V36" i="4"/>
  <c r="K46" i="4"/>
  <c r="K48" i="4"/>
  <c r="L12" i="4"/>
  <c r="W43" i="4"/>
  <c r="W36" i="4"/>
  <c r="K39" i="4"/>
  <c r="V44" i="4"/>
  <c r="V48" i="4"/>
  <c r="K11" i="4"/>
  <c r="K35" i="4"/>
  <c r="L3" i="4"/>
  <c r="K3" i="4"/>
  <c r="M42" i="4"/>
  <c r="V16" i="4"/>
  <c r="K9" i="4"/>
  <c r="W10" i="4"/>
  <c r="K10" i="4"/>
  <c r="N24" i="4"/>
  <c r="K33" i="4"/>
  <c r="O34" i="4"/>
  <c r="L10" i="4"/>
  <c r="K17" i="4"/>
  <c r="K23" i="4"/>
  <c r="K25" i="4"/>
  <c r="M33" i="4"/>
  <c r="L40" i="4"/>
  <c r="K41" i="4"/>
  <c r="K42" i="4"/>
  <c r="K44" i="4"/>
  <c r="W48" i="4"/>
  <c r="L18" i="4"/>
  <c r="V42" i="4"/>
  <c r="K34" i="4"/>
  <c r="W40" i="4"/>
  <c r="V49" i="4"/>
  <c r="O10" i="4"/>
  <c r="M18" i="4"/>
  <c r="W34" i="4"/>
  <c r="K15" i="4"/>
  <c r="L34" i="4"/>
  <c r="K40" i="4"/>
  <c r="N49" i="4"/>
  <c r="L48" i="4"/>
  <c r="O48" i="4"/>
  <c r="V40" i="4"/>
  <c r="M8" i="4"/>
  <c r="L8" i="4"/>
  <c r="V8" i="4"/>
  <c r="K8" i="4"/>
  <c r="W19" i="4"/>
  <c r="O9" i="4"/>
  <c r="W9" i="4"/>
  <c r="N9" i="4"/>
  <c r="V9" i="4"/>
  <c r="M9" i="4"/>
  <c r="L9" i="4"/>
  <c r="W8" i="4"/>
  <c r="L39" i="4"/>
  <c r="W39" i="4"/>
  <c r="V39" i="4"/>
  <c r="O39" i="4"/>
  <c r="N39" i="4"/>
  <c r="M39" i="4"/>
  <c r="W45" i="4"/>
  <c r="O45" i="4"/>
  <c r="M45" i="4"/>
  <c r="L45" i="4"/>
  <c r="V45" i="4"/>
  <c r="N45" i="4"/>
  <c r="O47" i="4"/>
  <c r="N47" i="4"/>
  <c r="M47" i="4"/>
  <c r="W47" i="4"/>
  <c r="V47" i="4"/>
  <c r="M3" i="4"/>
  <c r="W3" i="4"/>
  <c r="O3" i="4"/>
  <c r="V3" i="4"/>
  <c r="N3" i="4"/>
  <c r="O28" i="4"/>
  <c r="N28" i="4"/>
  <c r="K28" i="4"/>
  <c r="W28" i="4"/>
  <c r="V28" i="4"/>
  <c r="W6" i="4"/>
  <c r="O6" i="4"/>
  <c r="V6" i="4"/>
  <c r="N6" i="4"/>
  <c r="L6" i="4"/>
  <c r="M6" i="4"/>
  <c r="V26" i="4"/>
  <c r="N26" i="4"/>
  <c r="M26" i="4"/>
  <c r="O26" i="4"/>
  <c r="L26" i="4"/>
  <c r="W33" i="4"/>
  <c r="O33" i="4"/>
  <c r="V33" i="4"/>
  <c r="N33" i="4"/>
  <c r="L33" i="4"/>
  <c r="V19" i="4"/>
  <c r="N19" i="4"/>
  <c r="M19" i="4"/>
  <c r="O19" i="4"/>
  <c r="K24" i="4"/>
  <c r="W24" i="4"/>
  <c r="V24" i="4"/>
  <c r="W26" i="4"/>
  <c r="L4" i="4"/>
  <c r="K4" i="4"/>
  <c r="W4" i="4"/>
  <c r="N8" i="4"/>
  <c r="W31" i="4"/>
  <c r="O31" i="4"/>
  <c r="M31" i="4"/>
  <c r="L31" i="4"/>
  <c r="V31" i="4"/>
  <c r="O8" i="4"/>
  <c r="L13" i="4"/>
  <c r="W16" i="4"/>
  <c r="K47" i="4"/>
  <c r="O7" i="4"/>
  <c r="W7" i="4"/>
  <c r="O12" i="4"/>
  <c r="O16" i="4"/>
  <c r="W25" i="4"/>
  <c r="O25" i="4"/>
  <c r="V25" i="4"/>
  <c r="N25" i="4"/>
  <c r="L25" i="4"/>
  <c r="K31" i="4"/>
  <c r="N32" i="4"/>
  <c r="L35" i="4"/>
  <c r="N41" i="4"/>
  <c r="V43" i="4"/>
  <c r="L47" i="4"/>
  <c r="N7" i="4"/>
  <c r="L17" i="4"/>
  <c r="W22" i="4"/>
  <c r="O22" i="4"/>
  <c r="M22" i="4"/>
  <c r="L22" i="4"/>
  <c r="W27" i="4"/>
  <c r="O27" i="4"/>
  <c r="M29" i="4"/>
  <c r="V38" i="4"/>
  <c r="N38" i="4"/>
  <c r="M38" i="4"/>
  <c r="L5" i="4"/>
  <c r="L11" i="4"/>
  <c r="M13" i="4"/>
  <c r="V13" i="4"/>
  <c r="L15" i="4"/>
  <c r="M17" i="4"/>
  <c r="W17" i="4"/>
  <c r="N22" i="4"/>
  <c r="O32" i="4"/>
  <c r="V34" i="4"/>
  <c r="N34" i="4"/>
  <c r="M34" i="4"/>
  <c r="L38" i="4"/>
  <c r="K43" i="4"/>
  <c r="W29" i="4"/>
  <c r="O29" i="4"/>
  <c r="V29" i="4"/>
  <c r="N29" i="4"/>
  <c r="L29" i="4"/>
  <c r="W41" i="4"/>
  <c r="O41" i="4"/>
  <c r="M41" i="4"/>
  <c r="L41" i="4"/>
  <c r="V7" i="4"/>
  <c r="N12" i="4"/>
  <c r="W12" i="4"/>
  <c r="N16" i="4"/>
  <c r="M5" i="4"/>
  <c r="M11" i="4"/>
  <c r="V11" i="4"/>
  <c r="N13" i="4"/>
  <c r="W13" i="4"/>
  <c r="M15" i="4"/>
  <c r="V15" i="4"/>
  <c r="N17" i="4"/>
  <c r="W18" i="4"/>
  <c r="O18" i="4"/>
  <c r="V18" i="4"/>
  <c r="N18" i="4"/>
  <c r="K20" i="4"/>
  <c r="K27" i="4"/>
  <c r="V27" i="4"/>
  <c r="W37" i="4"/>
  <c r="O37" i="4"/>
  <c r="V37" i="4"/>
  <c r="N37" i="4"/>
  <c r="L37" i="4"/>
  <c r="O38" i="4"/>
  <c r="L43" i="4"/>
  <c r="W49" i="4"/>
  <c r="O49" i="4"/>
  <c r="M49" i="4"/>
  <c r="L49" i="4"/>
  <c r="N5" i="4"/>
  <c r="V10" i="4"/>
  <c r="N10" i="4"/>
  <c r="N11" i="4"/>
  <c r="W11" i="4"/>
  <c r="O13" i="4"/>
  <c r="V14" i="4"/>
  <c r="N14" i="4"/>
  <c r="N15" i="4"/>
  <c r="W15" i="4"/>
  <c r="O17" i="4"/>
  <c r="L20" i="4"/>
  <c r="W20" i="4"/>
  <c r="V30" i="4"/>
  <c r="N30" i="4"/>
  <c r="M30" i="4"/>
  <c r="W35" i="4"/>
  <c r="O35" i="4"/>
  <c r="M37" i="4"/>
  <c r="M43" i="4"/>
  <c r="N23" i="4"/>
  <c r="V23" i="4"/>
  <c r="N42" i="4"/>
  <c r="N46" i="4"/>
  <c r="O23" i="4"/>
  <c r="O42" i="4"/>
  <c r="W42" i="4"/>
  <c r="O46" i="4"/>
  <c r="W46" i="4"/>
  <c r="M21" i="4"/>
  <c r="L24" i="4"/>
  <c r="L28" i="4"/>
  <c r="L32" i="4"/>
  <c r="L36" i="4"/>
  <c r="M40" i="4"/>
  <c r="M44" i="4"/>
  <c r="M48" i="4"/>
  <c r="N21" i="4"/>
  <c r="M24" i="4"/>
  <c r="M28" i="4"/>
  <c r="M32" i="4"/>
  <c r="M36" i="4"/>
  <c r="N40" i="4"/>
  <c r="N44" i="4"/>
  <c r="N48" i="4"/>
  <c r="O3" i="6" l="1"/>
  <c r="M7" i="6"/>
  <c r="K7" i="6"/>
  <c r="N42" i="6"/>
  <c r="K3" i="6"/>
  <c r="M3" i="6"/>
  <c r="V3" i="6"/>
  <c r="W44" i="6"/>
  <c r="V7" i="6"/>
  <c r="W7" i="6"/>
  <c r="L19" i="6"/>
  <c r="O19" i="6"/>
  <c r="K19" i="6"/>
  <c r="W19" i="6"/>
  <c r="M19" i="6"/>
  <c r="L9" i="6"/>
  <c r="O7" i="6"/>
  <c r="L24" i="6"/>
  <c r="M9" i="6"/>
  <c r="V19" i="6"/>
  <c r="K9" i="6"/>
  <c r="O42" i="6"/>
  <c r="N24" i="6"/>
  <c r="V9" i="6"/>
  <c r="L7" i="6"/>
  <c r="N9" i="6"/>
  <c r="M15" i="6"/>
  <c r="V44" i="6"/>
  <c r="O9" i="6"/>
  <c r="N26" i="6"/>
  <c r="W17" i="6"/>
  <c r="W26" i="6"/>
  <c r="L44" i="6"/>
  <c r="M44" i="6"/>
  <c r="V13" i="6"/>
  <c r="M11" i="6"/>
  <c r="N3" i="6"/>
  <c r="K13" i="6"/>
  <c r="O6" i="6"/>
  <c r="V17" i="6"/>
  <c r="N15" i="6"/>
  <c r="N33" i="6"/>
  <c r="O11" i="6"/>
  <c r="K17" i="6"/>
  <c r="V15" i="6"/>
  <c r="O33" i="6"/>
  <c r="L3" i="6"/>
  <c r="N17" i="6"/>
  <c r="L13" i="6"/>
  <c r="K11" i="6"/>
  <c r="K15" i="6"/>
  <c r="W15" i="6"/>
  <c r="L17" i="6"/>
  <c r="M17" i="6"/>
  <c r="K26" i="6"/>
  <c r="O13" i="6"/>
  <c r="M13" i="6"/>
  <c r="O15" i="6"/>
  <c r="K8" i="6"/>
  <c r="V11" i="6"/>
  <c r="L11" i="6"/>
  <c r="M33" i="6"/>
  <c r="W11" i="6"/>
  <c r="N13" i="6"/>
  <c r="K44" i="6"/>
  <c r="W49" i="6"/>
  <c r="L33" i="6"/>
  <c r="M6" i="6"/>
  <c r="W8" i="6"/>
  <c r="L6" i="6"/>
  <c r="M48" i="6"/>
  <c r="K6" i="6"/>
  <c r="W6" i="6"/>
  <c r="O26" i="6"/>
  <c r="K28" i="6"/>
  <c r="O28" i="6"/>
  <c r="W48" i="6"/>
  <c r="O48" i="6"/>
  <c r="L8" i="6"/>
  <c r="M28" i="6"/>
  <c r="V49" i="6"/>
  <c r="V28" i="6"/>
  <c r="M8" i="6"/>
  <c r="V4" i="6"/>
  <c r="M4" i="6"/>
  <c r="W4" i="6"/>
  <c r="K24" i="6"/>
  <c r="L4" i="6"/>
  <c r="V35" i="6"/>
  <c r="O35" i="6"/>
  <c r="AD21" i="5"/>
  <c r="AD44" i="5"/>
  <c r="N4" i="6"/>
  <c r="N45" i="6"/>
  <c r="M42" i="6"/>
  <c r="K4" i="6"/>
  <c r="M32" i="6"/>
  <c r="O12" i="6"/>
  <c r="W24" i="6"/>
  <c r="L26" i="6"/>
  <c r="L39" i="6"/>
  <c r="O44" i="6"/>
  <c r="L42" i="6"/>
  <c r="V6" i="6"/>
  <c r="M26" i="6"/>
  <c r="M24" i="6"/>
  <c r="N35" i="6"/>
  <c r="N48" i="6"/>
  <c r="K49" i="6"/>
  <c r="K37" i="6"/>
  <c r="W16" i="6"/>
  <c r="N12" i="6"/>
  <c r="K16" i="6"/>
  <c r="L48" i="6"/>
  <c r="W33" i="6"/>
  <c r="O37" i="6"/>
  <c r="V12" i="6"/>
  <c r="N8" i="6"/>
  <c r="W37" i="6"/>
  <c r="V43" i="6"/>
  <c r="W35" i="6"/>
  <c r="L40" i="6"/>
  <c r="N30" i="6"/>
  <c r="K12" i="6"/>
  <c r="V37" i="6"/>
  <c r="N49" i="6"/>
  <c r="W25" i="6"/>
  <c r="O16" i="6"/>
  <c r="L35" i="6"/>
  <c r="N37" i="6"/>
  <c r="K30" i="6"/>
  <c r="M30" i="6"/>
  <c r="W12" i="6"/>
  <c r="K42" i="6"/>
  <c r="K20" i="6"/>
  <c r="W21" i="6"/>
  <c r="W36" i="6"/>
  <c r="N36" i="6"/>
  <c r="M21" i="6"/>
  <c r="V36" i="6"/>
  <c r="N16" i="6"/>
  <c r="K34" i="6"/>
  <c r="V30" i="6"/>
  <c r="O21" i="6"/>
  <c r="W32" i="6"/>
  <c r="N20" i="6"/>
  <c r="L23" i="6"/>
  <c r="O24" i="6"/>
  <c r="L12" i="6"/>
  <c r="O32" i="6"/>
  <c r="V16" i="6"/>
  <c r="L30" i="6"/>
  <c r="N21" i="6"/>
  <c r="O20" i="6"/>
  <c r="V42" i="6"/>
  <c r="K35" i="6"/>
  <c r="L36" i="6"/>
  <c r="N18" i="6"/>
  <c r="W30" i="6"/>
  <c r="V22" i="6"/>
  <c r="K22" i="6"/>
  <c r="W43" i="6"/>
  <c r="M23" i="6"/>
  <c r="O18" i="6"/>
  <c r="M36" i="6"/>
  <c r="V10" i="6"/>
  <c r="M41" i="6"/>
  <c r="K32" i="6"/>
  <c r="W34" i="6"/>
  <c r="O38" i="6"/>
  <c r="L20" i="6"/>
  <c r="V32" i="6"/>
  <c r="V34" i="6"/>
  <c r="O23" i="6"/>
  <c r="O8" i="6"/>
  <c r="K48" i="6"/>
  <c r="K18" i="6"/>
  <c r="K21" i="6"/>
  <c r="K25" i="6"/>
  <c r="M22" i="6"/>
  <c r="O43" i="6"/>
  <c r="M38" i="6"/>
  <c r="K38" i="6"/>
  <c r="L38" i="6"/>
  <c r="N34" i="6"/>
  <c r="M27" i="6"/>
  <c r="V23" i="6"/>
  <c r="W38" i="6"/>
  <c r="M43" i="6"/>
  <c r="W20" i="6"/>
  <c r="L22" i="6"/>
  <c r="N38" i="6"/>
  <c r="K36" i="6"/>
  <c r="O39" i="6"/>
  <c r="L32" i="6"/>
  <c r="W22" i="6"/>
  <c r="V33" i="6"/>
  <c r="M49" i="6"/>
  <c r="W39" i="6"/>
  <c r="L18" i="6"/>
  <c r="L21" i="6"/>
  <c r="V5" i="6"/>
  <c r="M34" i="6"/>
  <c r="M20" i="6"/>
  <c r="O34" i="6"/>
  <c r="L27" i="6"/>
  <c r="K41" i="6"/>
  <c r="W28" i="6"/>
  <c r="L28" i="6"/>
  <c r="L49" i="6"/>
  <c r="K39" i="6"/>
  <c r="V18" i="6"/>
  <c r="O22" i="6"/>
  <c r="L37" i="6"/>
  <c r="M16" i="6"/>
  <c r="W5" i="6"/>
  <c r="N27" i="6"/>
  <c r="O25" i="6"/>
  <c r="W18" i="6"/>
  <c r="V25" i="6"/>
  <c r="V41" i="6"/>
  <c r="V39" i="6"/>
  <c r="M31" i="6"/>
  <c r="V29" i="6"/>
  <c r="W29" i="6"/>
  <c r="N10" i="6"/>
  <c r="W31" i="6"/>
  <c r="W45" i="6"/>
  <c r="L25" i="6"/>
  <c r="N23" i="6"/>
  <c r="K23" i="6"/>
  <c r="L47" i="6"/>
  <c r="N39" i="6"/>
  <c r="K43" i="6"/>
  <c r="V45" i="6"/>
  <c r="L43" i="6"/>
  <c r="L29" i="6"/>
  <c r="N31" i="6"/>
  <c r="W47" i="6"/>
  <c r="O41" i="6"/>
  <c r="O27" i="6"/>
  <c r="K47" i="6"/>
  <c r="L31" i="6"/>
  <c r="O47" i="6"/>
  <c r="V27" i="6"/>
  <c r="W41" i="6"/>
  <c r="N25" i="6"/>
  <c r="L41" i="6"/>
  <c r="K31" i="6"/>
  <c r="N47" i="6"/>
  <c r="V47" i="6"/>
  <c r="K29" i="6"/>
  <c r="N29" i="6"/>
  <c r="V31" i="6"/>
  <c r="M45" i="6"/>
  <c r="W27" i="6"/>
  <c r="O29" i="6"/>
  <c r="O45" i="6"/>
  <c r="K45" i="6"/>
  <c r="W10" i="6"/>
  <c r="L10" i="6"/>
  <c r="O10" i="6"/>
  <c r="M10" i="6"/>
  <c r="AD4" i="5"/>
  <c r="AD6" i="5"/>
  <c r="AD14" i="5"/>
  <c r="L5" i="6"/>
  <c r="M46" i="6"/>
  <c r="V46" i="6"/>
  <c r="O46" i="6"/>
  <c r="L46" i="6"/>
  <c r="N46" i="6"/>
  <c r="W46" i="6"/>
  <c r="AD32" i="5"/>
  <c r="AD20" i="5"/>
  <c r="N40" i="6"/>
  <c r="M40" i="6"/>
  <c r="O5" i="6"/>
  <c r="V40" i="6"/>
  <c r="O40" i="6"/>
  <c r="N5" i="6"/>
  <c r="K5" i="6"/>
  <c r="N14" i="6"/>
  <c r="V14" i="6"/>
  <c r="L14" i="6"/>
  <c r="M14" i="6"/>
  <c r="AD36" i="5"/>
  <c r="AD24" i="5"/>
  <c r="AD43" i="5"/>
  <c r="AD41" i="5"/>
  <c r="AD45" i="5"/>
  <c r="AD28" i="5"/>
  <c r="AD3" i="5"/>
  <c r="AD16" i="5"/>
  <c r="AD5" i="5"/>
  <c r="AD49" i="5"/>
  <c r="AD39" i="5"/>
  <c r="AD15" i="5"/>
  <c r="AD31" i="5"/>
  <c r="AD34" i="5"/>
  <c r="AD27" i="5"/>
  <c r="AD13" i="5"/>
  <c r="W14" i="6"/>
  <c r="K40" i="6"/>
  <c r="K14" i="6"/>
  <c r="AD40" i="5"/>
  <c r="AD26" i="5"/>
  <c r="AD10" i="5"/>
  <c r="AD11" i="5"/>
  <c r="AD12" i="5"/>
  <c r="AD48" i="5"/>
  <c r="AD29" i="5"/>
  <c r="AD8" i="5"/>
  <c r="AD33" i="5"/>
  <c r="AD37" i="5"/>
  <c r="AD7" i="5"/>
  <c r="AD30" i="5"/>
  <c r="AD9" i="5"/>
  <c r="AD23" i="5"/>
  <c r="AD38" i="5"/>
  <c r="AD22" i="5"/>
  <c r="AD25" i="5"/>
  <c r="AD46" i="5"/>
  <c r="AD35" i="5"/>
  <c r="AD42" i="5"/>
  <c r="AD47" i="5"/>
  <c r="AD18" i="5"/>
  <c r="AD19" i="5"/>
  <c r="AD17" i="5"/>
  <c r="B16" i="3" l="1"/>
  <c r="B13" i="3"/>
  <c r="G6" i="3" l="1"/>
  <c r="G4" i="3"/>
  <c r="U38" i="6" l="1"/>
  <c r="Q37" i="6"/>
  <c r="U28" i="6"/>
  <c r="Q22" i="6"/>
  <c r="Q38" i="5"/>
  <c r="Q21" i="5"/>
  <c r="S13" i="5"/>
  <c r="U16" i="6"/>
  <c r="S37" i="6"/>
  <c r="Q33" i="6"/>
  <c r="Q14" i="6"/>
  <c r="U12" i="6"/>
  <c r="U8" i="6"/>
  <c r="S3" i="6"/>
  <c r="U37" i="6"/>
  <c r="Q29" i="6"/>
  <c r="U20" i="6"/>
  <c r="S13" i="6"/>
  <c r="Q35" i="6"/>
  <c r="S22" i="6"/>
  <c r="U21" i="6"/>
  <c r="Q17" i="6"/>
  <c r="S16" i="6"/>
  <c r="U38" i="5"/>
  <c r="S35" i="6"/>
  <c r="U22" i="6"/>
  <c r="U15" i="5"/>
  <c r="S28" i="4"/>
  <c r="S8" i="6"/>
  <c r="U5" i="5"/>
  <c r="U35" i="6"/>
  <c r="S20" i="6"/>
  <c r="U31" i="5"/>
  <c r="U24" i="6"/>
  <c r="Q9" i="6"/>
  <c r="S6" i="6"/>
  <c r="S32" i="6"/>
  <c r="U9" i="6"/>
  <c r="Q15" i="6"/>
  <c r="S24" i="6"/>
  <c r="Q26" i="6"/>
  <c r="Q34" i="6"/>
  <c r="U32" i="6"/>
  <c r="Q38" i="6"/>
  <c r="Q19" i="6"/>
  <c r="U40" i="6"/>
  <c r="S40" i="6"/>
  <c r="U6" i="6"/>
  <c r="U18" i="6"/>
  <c r="Q49" i="6"/>
  <c r="U49" i="6"/>
  <c r="S30" i="6"/>
  <c r="S41" i="6"/>
  <c r="U23" i="6"/>
  <c r="Q37" i="5"/>
  <c r="S12" i="4"/>
  <c r="Q31" i="6"/>
  <c r="Q6" i="4"/>
  <c r="U26" i="5"/>
  <c r="Q3" i="5"/>
  <c r="Q3" i="6"/>
  <c r="S36" i="6"/>
  <c r="U33" i="6"/>
  <c r="Q10" i="6"/>
  <c r="S17" i="6"/>
  <c r="U25" i="6"/>
  <c r="S23" i="6"/>
  <c r="Q25" i="6"/>
  <c r="S27" i="6"/>
  <c r="U27" i="6"/>
  <c r="U19" i="6"/>
  <c r="Q32" i="6"/>
  <c r="S4" i="6"/>
  <c r="U30" i="6"/>
  <c r="Q5" i="6"/>
  <c r="Q40" i="6"/>
  <c r="U14" i="6"/>
  <c r="Q41" i="6"/>
  <c r="U41" i="6"/>
  <c r="Q47" i="6"/>
  <c r="U47" i="6"/>
  <c r="S47" i="6"/>
  <c r="U31" i="6"/>
  <c r="Q29" i="4"/>
  <c r="S38" i="4"/>
  <c r="Q13" i="6"/>
  <c r="U12" i="5"/>
  <c r="S33" i="6"/>
  <c r="Q18" i="6"/>
  <c r="S31" i="6"/>
  <c r="S12" i="6"/>
  <c r="S15" i="6"/>
  <c r="Q23" i="6"/>
  <c r="Q27" i="6"/>
  <c r="U13" i="6"/>
  <c r="U34" i="6"/>
  <c r="Q6" i="6"/>
  <c r="Q20" i="6"/>
  <c r="U11" i="6"/>
  <c r="U17" i="6"/>
  <c r="S21" i="6"/>
  <c r="Q21" i="6"/>
  <c r="Q11" i="6"/>
  <c r="S19" i="6"/>
  <c r="Q16" i="6"/>
  <c r="S28" i="6"/>
  <c r="Q43" i="6"/>
  <c r="U43" i="6"/>
  <c r="Q42" i="6"/>
  <c r="S29" i="6"/>
  <c r="S45" i="6"/>
  <c r="S49" i="6"/>
  <c r="Q44" i="6"/>
  <c r="S14" i="6"/>
  <c r="S38" i="6"/>
  <c r="U48" i="6"/>
  <c r="S48" i="6"/>
  <c r="S27" i="5"/>
  <c r="S43" i="5"/>
  <c r="U29" i="6"/>
  <c r="S7" i="6"/>
  <c r="Q8" i="6"/>
  <c r="Q24" i="6"/>
  <c r="S5" i="6"/>
  <c r="S9" i="6"/>
  <c r="Q7" i="6"/>
  <c r="U4" i="6"/>
  <c r="Q39" i="6"/>
  <c r="Q45" i="6"/>
  <c r="U42" i="6"/>
  <c r="S39" i="6"/>
  <c r="S18" i="6"/>
  <c r="Q33" i="5"/>
  <c r="S8" i="5"/>
  <c r="U27" i="5"/>
  <c r="S17" i="5"/>
  <c r="S22" i="5"/>
  <c r="Q34" i="5"/>
  <c r="Q10" i="5"/>
  <c r="Q5" i="5"/>
  <c r="S38" i="5"/>
  <c r="S19" i="5"/>
  <c r="S33" i="5"/>
  <c r="Q42" i="5"/>
  <c r="S30" i="5"/>
  <c r="Q14" i="5"/>
  <c r="Q8" i="5"/>
  <c r="S31" i="5"/>
  <c r="S5" i="5"/>
  <c r="S41" i="5"/>
  <c r="S28" i="5"/>
  <c r="S6" i="5"/>
  <c r="S18" i="5"/>
  <c r="U21" i="5"/>
  <c r="Q24" i="5"/>
  <c r="U24" i="5"/>
  <c r="U33" i="5"/>
  <c r="Q41" i="5"/>
  <c r="U41" i="5"/>
  <c r="Q49" i="5"/>
  <c r="U49" i="5"/>
  <c r="Q22" i="5"/>
  <c r="S6" i="4"/>
  <c r="S34" i="4"/>
  <c r="Q31" i="4"/>
  <c r="U42" i="4"/>
  <c r="U25" i="4"/>
  <c r="S3" i="4"/>
  <c r="U16" i="4"/>
  <c r="U36" i="4"/>
  <c r="Q32" i="4"/>
  <c r="S9" i="4"/>
  <c r="S26" i="4"/>
  <c r="U33" i="4"/>
  <c r="S19" i="4"/>
  <c r="Q24" i="4"/>
  <c r="S24" i="4"/>
  <c r="S4" i="4"/>
  <c r="S17" i="4"/>
  <c r="S49" i="4"/>
  <c r="U15" i="6"/>
  <c r="U5" i="6"/>
  <c r="Q4" i="6"/>
  <c r="U3" i="6"/>
  <c r="S34" i="6"/>
  <c r="S11" i="6"/>
  <c r="Q36" i="6"/>
  <c r="S12" i="5"/>
  <c r="U39" i="5"/>
  <c r="Q26" i="5"/>
  <c r="S39" i="5"/>
  <c r="S34" i="5"/>
  <c r="Q46" i="5"/>
  <c r="S29" i="5"/>
  <c r="Q19" i="5"/>
  <c r="Q23" i="5"/>
  <c r="U8" i="5"/>
  <c r="U16" i="5"/>
  <c r="Q31" i="5"/>
  <c r="U4" i="5"/>
  <c r="S23" i="5"/>
  <c r="Q43" i="5"/>
  <c r="U3" i="5"/>
  <c r="Q6" i="5"/>
  <c r="S26" i="5"/>
  <c r="U13" i="5"/>
  <c r="U6" i="5"/>
  <c r="Q12" i="5"/>
  <c r="S37" i="5"/>
  <c r="U11" i="5"/>
  <c r="S32" i="5"/>
  <c r="U42" i="5"/>
  <c r="S42" i="5"/>
  <c r="S14" i="5"/>
  <c r="Q28" i="5"/>
  <c r="U29" i="5"/>
  <c r="U36" i="5"/>
  <c r="S25" i="6"/>
  <c r="Q21" i="4"/>
  <c r="U26" i="6"/>
  <c r="Q12" i="6"/>
  <c r="Q30" i="6"/>
  <c r="U36" i="6"/>
  <c r="Q28" i="6"/>
  <c r="S44" i="6"/>
  <c r="S46" i="6"/>
  <c r="U7" i="5"/>
  <c r="U18" i="5"/>
  <c r="U22" i="5"/>
  <c r="U10" i="5"/>
  <c r="U40" i="5"/>
  <c r="S40" i="5"/>
  <c r="Q40" i="5"/>
  <c r="U14" i="5"/>
  <c r="S20" i="5"/>
  <c r="S47" i="5"/>
  <c r="Q9" i="5"/>
  <c r="Q47" i="5"/>
  <c r="Q7" i="5"/>
  <c r="S35" i="5"/>
  <c r="Q16" i="5"/>
  <c r="S21" i="5"/>
  <c r="Q29" i="5"/>
  <c r="U47" i="5"/>
  <c r="U17" i="5"/>
  <c r="Q27" i="5"/>
  <c r="U30" i="5"/>
  <c r="Q39" i="5"/>
  <c r="U44" i="5"/>
  <c r="S44" i="5"/>
  <c r="Q44" i="5"/>
  <c r="S36" i="5"/>
  <c r="U46" i="5"/>
  <c r="S46" i="5"/>
  <c r="S10" i="5"/>
  <c r="Q15" i="5"/>
  <c r="Q32" i="5"/>
  <c r="U25" i="5"/>
  <c r="U32" i="5"/>
  <c r="Q45" i="5"/>
  <c r="U45" i="5"/>
  <c r="S11" i="5"/>
  <c r="U43" i="5"/>
  <c r="S26" i="6"/>
  <c r="U7" i="6"/>
  <c r="U10" i="6"/>
  <c r="U39" i="6"/>
  <c r="U45" i="6"/>
  <c r="S42" i="6"/>
  <c r="S43" i="6"/>
  <c r="U44" i="6"/>
  <c r="S10" i="6"/>
  <c r="U46" i="6"/>
  <c r="Q46" i="6"/>
  <c r="Q48" i="6"/>
  <c r="S16" i="5"/>
  <c r="U35" i="5"/>
  <c r="Q25" i="5"/>
  <c r="Q18" i="5"/>
  <c r="U34" i="5"/>
  <c r="Q4" i="5"/>
  <c r="U20" i="5"/>
  <c r="U23" i="5"/>
  <c r="S45" i="5"/>
  <c r="U9" i="5"/>
  <c r="Q35" i="5"/>
  <c r="S7" i="5"/>
  <c r="U48" i="5"/>
  <c r="S48" i="5"/>
  <c r="Q48" i="5"/>
  <c r="S9" i="5"/>
  <c r="Q13" i="5"/>
  <c r="Q30" i="5"/>
  <c r="S49" i="5"/>
  <c r="Q17" i="5"/>
  <c r="S25" i="5"/>
  <c r="S3" i="5"/>
  <c r="S24" i="5"/>
  <c r="S4" i="5"/>
  <c r="Q11" i="5"/>
  <c r="Q36" i="5"/>
  <c r="U19" i="5"/>
  <c r="U28" i="5"/>
  <c r="U37" i="5"/>
  <c r="Q20" i="5"/>
  <c r="S22" i="4"/>
  <c r="Q9" i="4"/>
  <c r="Q49" i="4"/>
  <c r="Q37" i="4"/>
  <c r="Q41" i="4"/>
  <c r="U20" i="4"/>
  <c r="Q40" i="4"/>
  <c r="S18" i="4"/>
  <c r="S7" i="4"/>
  <c r="Q8" i="4"/>
  <c r="Q39" i="4"/>
  <c r="U39" i="4"/>
  <c r="U45" i="4"/>
  <c r="U6" i="4"/>
  <c r="Q19" i="4"/>
  <c r="S30" i="4"/>
  <c r="U22" i="4"/>
  <c r="S27" i="4"/>
  <c r="U15" i="4"/>
  <c r="Q34" i="4"/>
  <c r="U34" i="4"/>
  <c r="Q14" i="4"/>
  <c r="U10" i="4"/>
  <c r="U32" i="4"/>
  <c r="U12" i="4"/>
  <c r="Q48" i="4"/>
  <c r="U8" i="4"/>
  <c r="Q3" i="4"/>
  <c r="Q28" i="4"/>
  <c r="Q33" i="4"/>
  <c r="U31" i="4"/>
  <c r="Q4" i="4"/>
  <c r="U28" i="4"/>
  <c r="Q12" i="4"/>
  <c r="U49" i="4"/>
  <c r="S10" i="4"/>
  <c r="U18" i="4"/>
  <c r="Q20" i="4"/>
  <c r="U29" i="4"/>
  <c r="S35" i="4"/>
  <c r="Q35" i="4"/>
  <c r="S15" i="5"/>
  <c r="S16" i="4"/>
  <c r="S23" i="4"/>
  <c r="Q36" i="4"/>
  <c r="S36" i="4"/>
  <c r="S42" i="4"/>
  <c r="U46" i="4"/>
  <c r="Q25" i="4"/>
  <c r="U4" i="4"/>
  <c r="S45" i="4"/>
  <c r="U3" i="4"/>
  <c r="Q26" i="4"/>
  <c r="U26" i="4"/>
  <c r="U19" i="4"/>
  <c r="Q27" i="4"/>
  <c r="S5" i="4"/>
  <c r="S47" i="4"/>
  <c r="U17" i="4"/>
  <c r="U5" i="4"/>
  <c r="Q16" i="4"/>
  <c r="Q22" i="4"/>
  <c r="S37" i="4"/>
  <c r="S48" i="4"/>
  <c r="U37" i="4"/>
  <c r="Q5" i="4"/>
  <c r="U14" i="4"/>
  <c r="U23" i="4"/>
  <c r="U35" i="4"/>
  <c r="Q11" i="4"/>
  <c r="Q44" i="4"/>
  <c r="Q7" i="4"/>
  <c r="U7" i="4"/>
  <c r="Q45" i="4"/>
  <c r="S31" i="4"/>
  <c r="U43" i="4"/>
  <c r="Q47" i="4"/>
  <c r="Q38" i="4"/>
  <c r="U38" i="4"/>
  <c r="S29" i="4"/>
  <c r="U41" i="4"/>
  <c r="S15" i="4"/>
  <c r="U24" i="4"/>
  <c r="S43" i="4"/>
  <c r="S44" i="4"/>
  <c r="U40" i="4"/>
  <c r="Q46" i="4"/>
  <c r="S25" i="4"/>
  <c r="U11" i="4"/>
  <c r="S11" i="4"/>
  <c r="S32" i="4"/>
  <c r="S40" i="4"/>
  <c r="U21" i="4"/>
  <c r="Q42" i="4"/>
  <c r="U48" i="4"/>
  <c r="U30" i="4"/>
  <c r="S21" i="4"/>
  <c r="U44" i="4"/>
  <c r="U47" i="4"/>
  <c r="Q13" i="4"/>
  <c r="Q15" i="4"/>
  <c r="Q18" i="4"/>
  <c r="Q17" i="4"/>
  <c r="Q10" i="4"/>
  <c r="S46" i="4"/>
  <c r="S8" i="4"/>
  <c r="U9" i="4"/>
  <c r="S39" i="4"/>
  <c r="S33" i="4"/>
  <c r="S13" i="4"/>
  <c r="U13" i="4"/>
  <c r="U27" i="4"/>
  <c r="Q43" i="4"/>
  <c r="S14" i="4"/>
  <c r="S20" i="4"/>
  <c r="S41" i="4"/>
  <c r="Q23" i="4"/>
  <c r="Q30" i="4"/>
  <c r="F5" i="3"/>
  <c r="G5" i="3" s="1"/>
  <c r="R23" i="6" s="1"/>
  <c r="P10" i="6" l="1"/>
  <c r="R27" i="4"/>
  <c r="T47" i="4"/>
  <c r="R42" i="4"/>
  <c r="R6" i="4"/>
  <c r="K6" i="7" s="1"/>
  <c r="P47" i="4"/>
  <c r="P30" i="4"/>
  <c r="P34" i="4"/>
  <c r="T6" i="4"/>
  <c r="T20" i="4"/>
  <c r="T25" i="4"/>
  <c r="T45" i="4"/>
  <c r="T27" i="4"/>
  <c r="R40" i="4"/>
  <c r="T29" i="4"/>
  <c r="P10" i="4"/>
  <c r="P11" i="4"/>
  <c r="P46" i="5"/>
  <c r="T19" i="4"/>
  <c r="R49" i="4"/>
  <c r="R22" i="5"/>
  <c r="T34" i="5"/>
  <c r="R4" i="5"/>
  <c r="L4" i="7" s="1"/>
  <c r="T30" i="5"/>
  <c r="T28" i="6"/>
  <c r="P38" i="5"/>
  <c r="P5" i="5"/>
  <c r="P5" i="7" s="1"/>
  <c r="P47" i="6"/>
  <c r="R47" i="4"/>
  <c r="R6" i="5"/>
  <c r="T16" i="5"/>
  <c r="T49" i="6"/>
  <c r="R36" i="6"/>
  <c r="R43" i="6"/>
  <c r="R16" i="6"/>
  <c r="R26" i="6"/>
  <c r="T31" i="6"/>
  <c r="P27" i="6"/>
  <c r="T24" i="6"/>
  <c r="R29" i="6"/>
  <c r="R12" i="4"/>
  <c r="T4" i="4"/>
  <c r="T10" i="4"/>
  <c r="R24" i="4"/>
  <c r="T24" i="4"/>
  <c r="R22" i="4"/>
  <c r="P27" i="4"/>
  <c r="P44" i="4"/>
  <c r="P49" i="4"/>
  <c r="T15" i="4"/>
  <c r="T23" i="4"/>
  <c r="T21" i="4"/>
  <c r="R5" i="4"/>
  <c r="K5" i="7" s="1"/>
  <c r="T22" i="4"/>
  <c r="P8" i="4"/>
  <c r="O7" i="7" s="1"/>
  <c r="R17" i="4"/>
  <c r="T5" i="4"/>
  <c r="T26" i="4"/>
  <c r="R7" i="4"/>
  <c r="R34" i="5"/>
  <c r="R33" i="5"/>
  <c r="T28" i="5"/>
  <c r="T8" i="5"/>
  <c r="R21" i="6"/>
  <c r="R42" i="5"/>
  <c r="R18" i="5"/>
  <c r="T31" i="4"/>
  <c r="T7" i="4"/>
  <c r="P12" i="5"/>
  <c r="R46" i="5"/>
  <c r="T30" i="6"/>
  <c r="T36" i="6"/>
  <c r="T38" i="6"/>
  <c r="P4" i="5"/>
  <c r="P4" i="7" s="1"/>
  <c r="P24" i="6"/>
  <c r="R40" i="6"/>
  <c r="T26" i="6"/>
  <c r="T16" i="6"/>
  <c r="T36" i="4"/>
  <c r="P41" i="4"/>
  <c r="R26" i="4"/>
  <c r="R3" i="4"/>
  <c r="T18" i="4"/>
  <c r="R36" i="4"/>
  <c r="R16" i="4"/>
  <c r="P4" i="4"/>
  <c r="O4" i="7" s="1"/>
  <c r="P46" i="4"/>
  <c r="R29" i="4"/>
  <c r="R19" i="4"/>
  <c r="R35" i="4"/>
  <c r="T30" i="4"/>
  <c r="T43" i="4"/>
  <c r="P22" i="4"/>
  <c r="P18" i="4"/>
  <c r="P13" i="4"/>
  <c r="P20" i="4"/>
  <c r="R45" i="4"/>
  <c r="R14" i="4"/>
  <c r="T12" i="5"/>
  <c r="T29" i="6"/>
  <c r="R11" i="5"/>
  <c r="T41" i="5"/>
  <c r="T19" i="5"/>
  <c r="R17" i="5"/>
  <c r="R25" i="5"/>
  <c r="P45" i="4"/>
  <c r="T11" i="5"/>
  <c r="P48" i="5"/>
  <c r="R37" i="5"/>
  <c r="T9" i="6"/>
  <c r="T45" i="6"/>
  <c r="T27" i="6"/>
  <c r="R44" i="6"/>
  <c r="R9" i="6"/>
  <c r="M8" i="7" s="1"/>
  <c r="P13" i="6"/>
  <c r="P40" i="4"/>
  <c r="P29" i="6"/>
  <c r="R21" i="4"/>
  <c r="R28" i="4"/>
  <c r="P38" i="4"/>
  <c r="R8" i="4"/>
  <c r="K7" i="7" s="1"/>
  <c r="P9" i="4"/>
  <c r="P16" i="4"/>
  <c r="R44" i="4"/>
  <c r="P32" i="4"/>
  <c r="P26" i="4"/>
  <c r="R32" i="4"/>
  <c r="P29" i="4"/>
  <c r="R33" i="4"/>
  <c r="P17" i="4"/>
  <c r="R48" i="4"/>
  <c r="T41" i="4"/>
  <c r="R20" i="4"/>
  <c r="R23" i="4"/>
  <c r="T14" i="4"/>
  <c r="P36" i="4"/>
  <c r="T42" i="4"/>
  <c r="P42" i="5"/>
  <c r="T26" i="5"/>
  <c r="P23" i="6"/>
  <c r="R47" i="5"/>
  <c r="P40" i="6"/>
  <c r="R26" i="5"/>
  <c r="R12" i="5"/>
  <c r="P35" i="6"/>
  <c r="T8" i="4"/>
  <c r="T46" i="5"/>
  <c r="T49" i="5"/>
  <c r="P38" i="6"/>
  <c r="T39" i="5"/>
  <c r="P45" i="6"/>
  <c r="R20" i="6"/>
  <c r="T32" i="6"/>
  <c r="P11" i="5"/>
  <c r="P21" i="6"/>
  <c r="T3" i="5"/>
  <c r="R21" i="5"/>
  <c r="L6" i="7"/>
  <c r="T28" i="4"/>
  <c r="T37" i="4"/>
  <c r="R18" i="4"/>
  <c r="R39" i="4"/>
  <c r="T44" i="4"/>
  <c r="R41" i="4"/>
  <c r="T32" i="4"/>
  <c r="R38" i="4"/>
  <c r="T49" i="4"/>
  <c r="T17" i="4"/>
  <c r="T3" i="4"/>
  <c r="P35" i="4"/>
  <c r="P7" i="4"/>
  <c r="T11" i="4"/>
  <c r="T9" i="4"/>
  <c r="R11" i="4"/>
  <c r="P5" i="4"/>
  <c r="O5" i="7" s="1"/>
  <c r="P43" i="4"/>
  <c r="R31" i="4"/>
  <c r="P14" i="4"/>
  <c r="P48" i="4"/>
  <c r="R9" i="4"/>
  <c r="P12" i="4"/>
  <c r="P31" i="4"/>
  <c r="P3" i="4"/>
  <c r="R25" i="4"/>
  <c r="T12" i="4"/>
  <c r="P21" i="4"/>
  <c r="T15" i="5"/>
  <c r="P18" i="5"/>
  <c r="T32" i="5"/>
  <c r="T17" i="5"/>
  <c r="P7" i="5"/>
  <c r="T22" i="5"/>
  <c r="R34" i="6"/>
  <c r="T47" i="6"/>
  <c r="R37" i="4"/>
  <c r="T21" i="5"/>
  <c r="R39" i="5"/>
  <c r="R3" i="5"/>
  <c r="P3" i="5"/>
  <c r="T9" i="5"/>
  <c r="T38" i="5"/>
  <c r="R16" i="5"/>
  <c r="T35" i="6"/>
  <c r="R41" i="6"/>
  <c r="P49" i="5"/>
  <c r="R20" i="5"/>
  <c r="T24" i="5"/>
  <c r="R29" i="5"/>
  <c r="P16" i="5"/>
  <c r="P35" i="5"/>
  <c r="P40" i="5"/>
  <c r="R40" i="5"/>
  <c r="T33" i="5"/>
  <c r="R30" i="6"/>
  <c r="T14" i="6"/>
  <c r="P41" i="6"/>
  <c r="P19" i="4"/>
  <c r="P39" i="4"/>
  <c r="P24" i="4"/>
  <c r="P15" i="4"/>
  <c r="P23" i="4"/>
  <c r="P29" i="5"/>
  <c r="R38" i="5"/>
  <c r="T44" i="5"/>
  <c r="T25" i="5"/>
  <c r="R7" i="5"/>
  <c r="T35" i="5"/>
  <c r="T14" i="5"/>
  <c r="P22" i="5"/>
  <c r="R36" i="5"/>
  <c r="P28" i="6"/>
  <c r="P33" i="6"/>
  <c r="P25" i="6"/>
  <c r="R18" i="6"/>
  <c r="R28" i="5"/>
  <c r="R28" i="6"/>
  <c r="P31" i="6"/>
  <c r="T41" i="6"/>
  <c r="P39" i="6"/>
  <c r="P16" i="6"/>
  <c r="R12" i="6"/>
  <c r="P26" i="6"/>
  <c r="T6" i="6"/>
  <c r="T8" i="6"/>
  <c r="P21" i="5"/>
  <c r="R19" i="6"/>
  <c r="T34" i="6"/>
  <c r="R25" i="6"/>
  <c r="P15" i="6"/>
  <c r="P19" i="5"/>
  <c r="T27" i="5"/>
  <c r="T42" i="6"/>
  <c r="T37" i="6"/>
  <c r="T19" i="6"/>
  <c r="R13" i="6"/>
  <c r="R4" i="6"/>
  <c r="M4" i="7" s="1"/>
  <c r="P28" i="4"/>
  <c r="P9" i="6"/>
  <c r="Q8" i="7" s="1"/>
  <c r="R3" i="6"/>
  <c r="R37" i="6"/>
  <c r="P18" i="6"/>
  <c r="R35" i="6"/>
  <c r="P17" i="6"/>
  <c r="T35" i="4"/>
  <c r="T16" i="4"/>
  <c r="P45" i="5"/>
  <c r="T42" i="5"/>
  <c r="P39" i="5"/>
  <c r="T23" i="5"/>
  <c r="P47" i="5"/>
  <c r="R9" i="5"/>
  <c r="P36" i="6"/>
  <c r="R45" i="6"/>
  <c r="P37" i="5"/>
  <c r="P32" i="5"/>
  <c r="R19" i="5"/>
  <c r="R48" i="5"/>
  <c r="R35" i="5"/>
  <c r="P43" i="5"/>
  <c r="T47" i="5"/>
  <c r="R32" i="6"/>
  <c r="R39" i="6"/>
  <c r="P12" i="6"/>
  <c r="P41" i="5"/>
  <c r="P10" i="5"/>
  <c r="R44" i="5"/>
  <c r="R27" i="5"/>
  <c r="R23" i="5"/>
  <c r="R43" i="5"/>
  <c r="T20" i="5"/>
  <c r="T10" i="5"/>
  <c r="T43" i="5"/>
  <c r="P30" i="6"/>
  <c r="T48" i="6"/>
  <c r="R15" i="6"/>
  <c r="T33" i="4"/>
  <c r="T39" i="4"/>
  <c r="P42" i="4"/>
  <c r="R15" i="4"/>
  <c r="T38" i="4"/>
  <c r="T4" i="5"/>
  <c r="T36" i="5"/>
  <c r="P27" i="5"/>
  <c r="R5" i="5"/>
  <c r="L5" i="7" s="1"/>
  <c r="P17" i="5"/>
  <c r="R31" i="5"/>
  <c r="T40" i="5"/>
  <c r="T18" i="5"/>
  <c r="R8" i="5"/>
  <c r="L7" i="7" s="1"/>
  <c r="P46" i="6"/>
  <c r="R47" i="6"/>
  <c r="R24" i="6"/>
  <c r="R8" i="6"/>
  <c r="M7" i="7" s="1"/>
  <c r="R32" i="5"/>
  <c r="P32" i="6"/>
  <c r="T18" i="6"/>
  <c r="T33" i="6"/>
  <c r="P37" i="6"/>
  <c r="R7" i="6"/>
  <c r="T4" i="6"/>
  <c r="T25" i="6"/>
  <c r="R17" i="6"/>
  <c r="T40" i="4"/>
  <c r="P13" i="5"/>
  <c r="P19" i="6"/>
  <c r="T13" i="6"/>
  <c r="T12" i="6"/>
  <c r="T7" i="6"/>
  <c r="T48" i="4"/>
  <c r="T3" i="6"/>
  <c r="R46" i="6"/>
  <c r="R49" i="6"/>
  <c r="P5" i="6"/>
  <c r="Q5" i="7" s="1"/>
  <c r="P3" i="6"/>
  <c r="R14" i="6"/>
  <c r="T5" i="6"/>
  <c r="T5" i="5"/>
  <c r="P6" i="6"/>
  <c r="P30" i="5"/>
  <c r="T20" i="6"/>
  <c r="R33" i="6"/>
  <c r="T21" i="6"/>
  <c r="P33" i="4"/>
  <c r="P25" i="4"/>
  <c r="R34" i="4"/>
  <c r="T34" i="4"/>
  <c r="P37" i="4"/>
  <c r="P33" i="5"/>
  <c r="P36" i="5"/>
  <c r="T31" i="5"/>
  <c r="P8" i="5"/>
  <c r="P31" i="5"/>
  <c r="R24" i="5"/>
  <c r="P44" i="6"/>
  <c r="P22" i="6"/>
  <c r="T6" i="5"/>
  <c r="R30" i="5"/>
  <c r="R49" i="5"/>
  <c r="P20" i="5"/>
  <c r="P9" i="5"/>
  <c r="P23" i="5"/>
  <c r="P26" i="5"/>
  <c r="P34" i="6"/>
  <c r="T39" i="6"/>
  <c r="R5" i="6"/>
  <c r="M5" i="7" s="1"/>
  <c r="P25" i="5"/>
  <c r="P28" i="5"/>
  <c r="R41" i="5"/>
  <c r="T7" i="5"/>
  <c r="T48" i="5"/>
  <c r="T37" i="5"/>
  <c r="R14" i="5"/>
  <c r="P34" i="5"/>
  <c r="P15" i="5"/>
  <c r="P48" i="6"/>
  <c r="T43" i="6"/>
  <c r="T13" i="4"/>
  <c r="P6" i="4"/>
  <c r="R4" i="4"/>
  <c r="R10" i="4"/>
  <c r="R43" i="4"/>
  <c r="R46" i="4"/>
  <c r="P14" i="5"/>
  <c r="P24" i="5"/>
  <c r="R13" i="5"/>
  <c r="T13" i="5"/>
  <c r="R45" i="5"/>
  <c r="T29" i="5"/>
  <c r="R10" i="5"/>
  <c r="T45" i="5"/>
  <c r="R38" i="6"/>
  <c r="T10" i="6"/>
  <c r="T40" i="6"/>
  <c r="P8" i="6"/>
  <c r="Q7" i="7" s="1"/>
  <c r="R15" i="5"/>
  <c r="P44" i="5"/>
  <c r="P42" i="6"/>
  <c r="T46" i="6"/>
  <c r="R48" i="6"/>
  <c r="R11" i="6"/>
  <c r="P7" i="6"/>
  <c r="P20" i="6"/>
  <c r="T15" i="6"/>
  <c r="R31" i="6"/>
  <c r="R13" i="4"/>
  <c r="P49" i="6"/>
  <c r="T17" i="6"/>
  <c r="R27" i="6"/>
  <c r="R6" i="6"/>
  <c r="M6" i="7" s="1"/>
  <c r="T23" i="6"/>
  <c r="R22" i="6"/>
  <c r="T44" i="6"/>
  <c r="P43" i="6"/>
  <c r="R42" i="6"/>
  <c r="P11" i="6"/>
  <c r="T11" i="6"/>
  <c r="R10" i="6"/>
  <c r="T46" i="4"/>
  <c r="R30" i="4"/>
  <c r="P14" i="6"/>
  <c r="P4" i="6"/>
  <c r="Q4" i="7" s="1"/>
  <c r="T22" i="6"/>
  <c r="P6" i="5"/>
  <c r="J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3" i="2"/>
  <c r="X38" i="6" l="1"/>
  <c r="AD24" i="6"/>
  <c r="X4" i="4"/>
  <c r="X22" i="4"/>
  <c r="X44" i="4"/>
  <c r="X10" i="4"/>
  <c r="X19" i="6"/>
  <c r="AD45" i="6"/>
  <c r="AD47" i="4"/>
  <c r="X11" i="4"/>
  <c r="X27" i="4"/>
  <c r="X3" i="6"/>
  <c r="X4" i="5"/>
  <c r="AC4" i="5" s="1"/>
  <c r="X46" i="5"/>
  <c r="AC46" i="5" s="1"/>
  <c r="X13" i="4"/>
  <c r="X8" i="4"/>
  <c r="AD8" i="4"/>
  <c r="AD27" i="4"/>
  <c r="X30" i="4"/>
  <c r="X7" i="4"/>
  <c r="X49" i="4"/>
  <c r="X26" i="4"/>
  <c r="AD11" i="4"/>
  <c r="AD26" i="4"/>
  <c r="X7" i="6"/>
  <c r="AD21" i="6"/>
  <c r="AD29" i="6"/>
  <c r="X27" i="6"/>
  <c r="AB42" i="5"/>
  <c r="X12" i="5"/>
  <c r="AC12" i="5" s="1"/>
  <c r="X23" i="5"/>
  <c r="AC23" i="5" s="1"/>
  <c r="AB46" i="5"/>
  <c r="AB11" i="5"/>
  <c r="AD22" i="4"/>
  <c r="X16" i="4"/>
  <c r="X23" i="4"/>
  <c r="X19" i="4"/>
  <c r="AD32" i="4"/>
  <c r="AD18" i="4"/>
  <c r="X36" i="4"/>
  <c r="X29" i="4"/>
  <c r="X47" i="4"/>
  <c r="AD29" i="4"/>
  <c r="X11" i="5"/>
  <c r="AC11" i="5" s="1"/>
  <c r="X38" i="5"/>
  <c r="AC38" i="5" s="1"/>
  <c r="AD20" i="4"/>
  <c r="X29" i="6"/>
  <c r="AD45" i="4"/>
  <c r="AB12" i="5"/>
  <c r="AD9" i="4"/>
  <c r="X35" i="6"/>
  <c r="AD36" i="4"/>
  <c r="X45" i="4"/>
  <c r="X23" i="6"/>
  <c r="X20" i="4"/>
  <c r="AD10" i="6"/>
  <c r="X40" i="6"/>
  <c r="AD34" i="4"/>
  <c r="AD40" i="4"/>
  <c r="X47" i="6"/>
  <c r="AD17" i="4"/>
  <c r="AD41" i="4"/>
  <c r="AD46" i="4"/>
  <c r="X48" i="5"/>
  <c r="AC48" i="5" s="1"/>
  <c r="X13" i="6"/>
  <c r="X3" i="5"/>
  <c r="AC3" i="5" s="1"/>
  <c r="X3" i="4"/>
  <c r="AB5" i="5"/>
  <c r="X38" i="4"/>
  <c r="X41" i="4"/>
  <c r="X24" i="6"/>
  <c r="X9" i="4"/>
  <c r="X32" i="4"/>
  <c r="X43" i="6"/>
  <c r="AD43" i="6"/>
  <c r="X42" i="6"/>
  <c r="AD42" i="6"/>
  <c r="AB34" i="5"/>
  <c r="X34" i="5"/>
  <c r="AC34" i="5" s="1"/>
  <c r="AB6" i="5"/>
  <c r="X6" i="5"/>
  <c r="AC6" i="5" s="1"/>
  <c r="X11" i="6"/>
  <c r="AD11" i="6"/>
  <c r="X14" i="5"/>
  <c r="AC14" i="5" s="1"/>
  <c r="AB14" i="5"/>
  <c r="X48" i="6"/>
  <c r="AD48" i="6"/>
  <c r="X28" i="5"/>
  <c r="AC28" i="5" s="1"/>
  <c r="AB28" i="5"/>
  <c r="X34" i="6"/>
  <c r="AD34" i="6"/>
  <c r="AB20" i="5"/>
  <c r="X20" i="5"/>
  <c r="AC20" i="5" s="1"/>
  <c r="AD22" i="6"/>
  <c r="X22" i="6"/>
  <c r="X8" i="5"/>
  <c r="AC8" i="5" s="1"/>
  <c r="AB8" i="5"/>
  <c r="X37" i="4"/>
  <c r="AD37" i="4"/>
  <c r="AD33" i="4"/>
  <c r="X33" i="4"/>
  <c r="K4" i="7"/>
  <c r="AB13" i="5"/>
  <c r="X13" i="5"/>
  <c r="AC13" i="5" s="1"/>
  <c r="AB41" i="5"/>
  <c r="X41" i="5"/>
  <c r="AC41" i="5" s="1"/>
  <c r="AD36" i="6"/>
  <c r="X36" i="6"/>
  <c r="AB39" i="5"/>
  <c r="X39" i="5"/>
  <c r="AC39" i="5" s="1"/>
  <c r="AD10" i="4"/>
  <c r="AD18" i="6"/>
  <c r="X18" i="6"/>
  <c r="AD28" i="4"/>
  <c r="X28" i="4"/>
  <c r="X15" i="6"/>
  <c r="AD15" i="6"/>
  <c r="X21" i="5"/>
  <c r="AC21" i="5" s="1"/>
  <c r="AB21" i="5"/>
  <c r="X31" i="6"/>
  <c r="AD31" i="6"/>
  <c r="AD25" i="6"/>
  <c r="X25" i="6"/>
  <c r="AB22" i="5"/>
  <c r="X22" i="5"/>
  <c r="AC22" i="5" s="1"/>
  <c r="X16" i="5"/>
  <c r="AC16" i="5" s="1"/>
  <c r="AB16" i="5"/>
  <c r="AB49" i="5"/>
  <c r="X49" i="5"/>
  <c r="AC49" i="5" s="1"/>
  <c r="AD12" i="4"/>
  <c r="X12" i="4"/>
  <c r="X21" i="6"/>
  <c r="X45" i="6"/>
  <c r="AD35" i="6"/>
  <c r="X42" i="5"/>
  <c r="AC42" i="5" s="1"/>
  <c r="X17" i="4"/>
  <c r="AD16" i="4"/>
  <c r="X40" i="4"/>
  <c r="AB48" i="5"/>
  <c r="X18" i="4"/>
  <c r="AD4" i="4"/>
  <c r="AD30" i="4"/>
  <c r="AB4" i="5"/>
  <c r="AD49" i="4"/>
  <c r="AD27" i="6"/>
  <c r="X5" i="5"/>
  <c r="AC5" i="5" s="1"/>
  <c r="X34" i="4"/>
  <c r="AD49" i="6"/>
  <c r="X49" i="6"/>
  <c r="AD20" i="6"/>
  <c r="X20" i="6"/>
  <c r="AD8" i="6"/>
  <c r="X8" i="6"/>
  <c r="AD6" i="4"/>
  <c r="X6" i="4"/>
  <c r="X15" i="5"/>
  <c r="AC15" i="5" s="1"/>
  <c r="AB15" i="5"/>
  <c r="X25" i="5"/>
  <c r="AC25" i="5" s="1"/>
  <c r="AB25" i="5"/>
  <c r="AB26" i="5"/>
  <c r="X26" i="5"/>
  <c r="AC26" i="5" s="1"/>
  <c r="X44" i="6"/>
  <c r="AD44" i="6"/>
  <c r="O6" i="7"/>
  <c r="X30" i="5"/>
  <c r="AC30" i="5" s="1"/>
  <c r="AB30" i="5"/>
  <c r="X32" i="6"/>
  <c r="AD32" i="6"/>
  <c r="AB27" i="5"/>
  <c r="X27" i="5"/>
  <c r="AC27" i="5" s="1"/>
  <c r="X12" i="6"/>
  <c r="AD12" i="6"/>
  <c r="X43" i="5"/>
  <c r="AC43" i="5" s="1"/>
  <c r="AB43" i="5"/>
  <c r="AB32" i="5"/>
  <c r="X32" i="5"/>
  <c r="AC32" i="5" s="1"/>
  <c r="AD13" i="4"/>
  <c r="AD16" i="6"/>
  <c r="X16" i="6"/>
  <c r="AD33" i="6"/>
  <c r="X33" i="6"/>
  <c r="AD15" i="4"/>
  <c r="X15" i="4"/>
  <c r="X41" i="6"/>
  <c r="AD41" i="6"/>
  <c r="AB18" i="5"/>
  <c r="X18" i="5"/>
  <c r="AC18" i="5" s="1"/>
  <c r="X43" i="4"/>
  <c r="AD43" i="4"/>
  <c r="AD40" i="6"/>
  <c r="AD13" i="6"/>
  <c r="X46" i="4"/>
  <c r="AD44" i="4"/>
  <c r="AD47" i="6"/>
  <c r="AD4" i="6"/>
  <c r="X4" i="6"/>
  <c r="X36" i="5"/>
  <c r="AC36" i="5" s="1"/>
  <c r="AB36" i="5"/>
  <c r="X6" i="6"/>
  <c r="AD6" i="6"/>
  <c r="AD37" i="6"/>
  <c r="X37" i="6"/>
  <c r="AD46" i="6"/>
  <c r="X46" i="6"/>
  <c r="X42" i="4"/>
  <c r="AD42" i="4"/>
  <c r="AB37" i="5"/>
  <c r="X37" i="5"/>
  <c r="AC37" i="5" s="1"/>
  <c r="AB47" i="5"/>
  <c r="X47" i="5"/>
  <c r="AC47" i="5" s="1"/>
  <c r="AB45" i="5"/>
  <c r="X45" i="5"/>
  <c r="AC45" i="5" s="1"/>
  <c r="AD17" i="6"/>
  <c r="X17" i="6"/>
  <c r="AD39" i="6"/>
  <c r="X39" i="6"/>
  <c r="AD28" i="6"/>
  <c r="X28" i="6"/>
  <c r="AD24" i="4"/>
  <c r="X24" i="4"/>
  <c r="AB40" i="5"/>
  <c r="X40" i="5"/>
  <c r="AC40" i="5" s="1"/>
  <c r="X7" i="5"/>
  <c r="AC7" i="5" s="1"/>
  <c r="X48" i="4"/>
  <c r="AD48" i="4"/>
  <c r="AD5" i="4"/>
  <c r="X5" i="4"/>
  <c r="X10" i="6"/>
  <c r="Q6" i="7"/>
  <c r="X14" i="6"/>
  <c r="AD14" i="6"/>
  <c r="AB44" i="5"/>
  <c r="X44" i="5"/>
  <c r="AC44" i="5" s="1"/>
  <c r="AB24" i="5"/>
  <c r="X24" i="5"/>
  <c r="AC24" i="5" s="1"/>
  <c r="AB9" i="5"/>
  <c r="X9" i="5"/>
  <c r="AC9" i="5" s="1"/>
  <c r="X31" i="5"/>
  <c r="AC31" i="5" s="1"/>
  <c r="AB31" i="5"/>
  <c r="X33" i="5"/>
  <c r="AC33" i="5" s="1"/>
  <c r="AB33" i="5"/>
  <c r="AD25" i="4"/>
  <c r="X25" i="4"/>
  <c r="X5" i="6"/>
  <c r="AD5" i="6"/>
  <c r="AB17" i="5"/>
  <c r="X17" i="5"/>
  <c r="AC17" i="5" s="1"/>
  <c r="X30" i="6"/>
  <c r="AD30" i="6"/>
  <c r="AB10" i="5"/>
  <c r="X10" i="5"/>
  <c r="AC10" i="5" s="1"/>
  <c r="P7" i="7"/>
  <c r="AD9" i="6"/>
  <c r="X9" i="6"/>
  <c r="X19" i="5"/>
  <c r="AC19" i="5" s="1"/>
  <c r="X26" i="6"/>
  <c r="AD26" i="6"/>
  <c r="X29" i="5"/>
  <c r="AC29" i="5" s="1"/>
  <c r="AB29" i="5"/>
  <c r="AD39" i="4"/>
  <c r="X39" i="4"/>
  <c r="AB35" i="5"/>
  <c r="X35" i="5"/>
  <c r="AC35" i="5" s="1"/>
  <c r="X21" i="4"/>
  <c r="AD21" i="4"/>
  <c r="AD31" i="4"/>
  <c r="X31" i="4"/>
  <c r="AD14" i="4"/>
  <c r="X14" i="4"/>
  <c r="X35" i="4"/>
  <c r="AD35" i="4"/>
  <c r="P6" i="7"/>
  <c r="P43" i="2"/>
  <c r="Q43" i="2"/>
  <c r="P27" i="2"/>
  <c r="Q27" i="2"/>
  <c r="P11" i="2"/>
  <c r="Q11" i="2"/>
  <c r="P42" i="2"/>
  <c r="Q42" i="2"/>
  <c r="P26" i="2"/>
  <c r="Q26" i="2"/>
  <c r="P10" i="2"/>
  <c r="Q10" i="2"/>
  <c r="P41" i="2"/>
  <c r="Q41" i="2"/>
  <c r="P25" i="2"/>
  <c r="Q25" i="2"/>
  <c r="P9" i="2"/>
  <c r="Q9" i="2"/>
  <c r="P48" i="2"/>
  <c r="Q48" i="2"/>
  <c r="P32" i="2"/>
  <c r="Q32" i="2"/>
  <c r="P16" i="2"/>
  <c r="Q16" i="2"/>
  <c r="P39" i="2"/>
  <c r="Q39" i="2"/>
  <c r="P23" i="2"/>
  <c r="Q23" i="2"/>
  <c r="P15" i="2"/>
  <c r="Q15" i="2"/>
  <c r="P38" i="2"/>
  <c r="Q38" i="2"/>
  <c r="P22" i="2"/>
  <c r="Q22" i="2"/>
  <c r="P14" i="2"/>
  <c r="Q14" i="2"/>
  <c r="P6" i="2"/>
  <c r="Q6" i="2"/>
  <c r="P45" i="2"/>
  <c r="Q45" i="2"/>
  <c r="P37" i="2"/>
  <c r="Q37" i="2"/>
  <c r="P29" i="2"/>
  <c r="Q29" i="2"/>
  <c r="P21" i="2"/>
  <c r="Q21" i="2"/>
  <c r="P13" i="2"/>
  <c r="Q13" i="2"/>
  <c r="P5" i="2"/>
  <c r="Q5" i="2"/>
  <c r="P35" i="2"/>
  <c r="Q35" i="2"/>
  <c r="P19" i="2"/>
  <c r="Q19" i="2"/>
  <c r="P34" i="2"/>
  <c r="Q34" i="2"/>
  <c r="P18" i="2"/>
  <c r="Q18" i="2"/>
  <c r="P49" i="2"/>
  <c r="Q49" i="2"/>
  <c r="P33" i="2"/>
  <c r="Q33" i="2"/>
  <c r="P17" i="2"/>
  <c r="Q17" i="2"/>
  <c r="P40" i="2"/>
  <c r="Q40" i="2"/>
  <c r="Q24" i="2"/>
  <c r="P24" i="2"/>
  <c r="P8" i="2"/>
  <c r="Q8" i="2"/>
  <c r="P47" i="2"/>
  <c r="Q47" i="2"/>
  <c r="P31" i="2"/>
  <c r="Q31" i="2"/>
  <c r="P7" i="2"/>
  <c r="Q7" i="2"/>
  <c r="P46" i="2"/>
  <c r="Q46" i="2"/>
  <c r="P30" i="2"/>
  <c r="Q30" i="2"/>
  <c r="P44" i="2"/>
  <c r="Q44" i="2"/>
  <c r="P36" i="2"/>
  <c r="Q36" i="2"/>
  <c r="P28" i="2"/>
  <c r="Q28" i="2"/>
  <c r="P20" i="2"/>
  <c r="Q20" i="2"/>
  <c r="Q12" i="2"/>
  <c r="P12" i="2"/>
  <c r="P4" i="2"/>
  <c r="Q4" i="2"/>
  <c r="Q3" i="2"/>
  <c r="P3" i="2"/>
  <c r="S42" i="2"/>
  <c r="R42" i="2"/>
  <c r="V42" i="2"/>
  <c r="U42" i="2"/>
  <c r="T42" i="2"/>
  <c r="L42" i="2"/>
  <c r="M42" i="2"/>
  <c r="N42" i="2"/>
  <c r="O42" i="2"/>
  <c r="R10" i="2"/>
  <c r="S10" i="2"/>
  <c r="T10" i="2"/>
  <c r="V10" i="2"/>
  <c r="U10" i="2"/>
  <c r="L10" i="2"/>
  <c r="O10" i="2"/>
  <c r="M10" i="2"/>
  <c r="N10" i="2"/>
  <c r="S49" i="2"/>
  <c r="R49" i="2"/>
  <c r="T49" i="2"/>
  <c r="V49" i="2"/>
  <c r="U49" i="2"/>
  <c r="N49" i="2"/>
  <c r="O49" i="2"/>
  <c r="M49" i="2"/>
  <c r="L49" i="2"/>
  <c r="S17" i="2"/>
  <c r="R17" i="2"/>
  <c r="U17" i="2"/>
  <c r="T17" i="2"/>
  <c r="V17" i="2"/>
  <c r="O17" i="2"/>
  <c r="M17" i="2"/>
  <c r="L17" i="2"/>
  <c r="N17" i="2"/>
  <c r="V32" i="2"/>
  <c r="S32" i="2"/>
  <c r="U32" i="2"/>
  <c r="T32" i="2"/>
  <c r="R32" i="2"/>
  <c r="M32" i="2"/>
  <c r="N32" i="2"/>
  <c r="O32" i="2"/>
  <c r="L32" i="2"/>
  <c r="T31" i="2"/>
  <c r="V31" i="2"/>
  <c r="U31" i="2"/>
  <c r="R31" i="2"/>
  <c r="S31" i="2"/>
  <c r="N31" i="2"/>
  <c r="M31" i="2"/>
  <c r="O31" i="2"/>
  <c r="L31" i="2"/>
  <c r="T43" i="2"/>
  <c r="V43" i="2"/>
  <c r="R43" i="2"/>
  <c r="U43" i="2"/>
  <c r="S43" i="2"/>
  <c r="L43" i="2"/>
  <c r="M43" i="2"/>
  <c r="O43" i="2"/>
  <c r="N43" i="2"/>
  <c r="T35" i="2"/>
  <c r="U35" i="2"/>
  <c r="R35" i="2"/>
  <c r="S35" i="2"/>
  <c r="V35" i="2"/>
  <c r="M35" i="2"/>
  <c r="L35" i="2"/>
  <c r="N35" i="2"/>
  <c r="O35" i="2"/>
  <c r="T27" i="2"/>
  <c r="V27" i="2"/>
  <c r="U27" i="2"/>
  <c r="R27" i="2"/>
  <c r="S27" i="2"/>
  <c r="N27" i="2"/>
  <c r="L27" i="2"/>
  <c r="O27" i="2"/>
  <c r="M27" i="2"/>
  <c r="T19" i="2"/>
  <c r="V19" i="2"/>
  <c r="R19" i="2"/>
  <c r="S19" i="2"/>
  <c r="U19" i="2"/>
  <c r="L19" i="2"/>
  <c r="O19" i="2"/>
  <c r="M19" i="2"/>
  <c r="N19" i="2"/>
  <c r="T11" i="2"/>
  <c r="R11" i="2"/>
  <c r="S11" i="2"/>
  <c r="V11" i="2"/>
  <c r="U11" i="2"/>
  <c r="L11" i="2"/>
  <c r="M11" i="2"/>
  <c r="N11" i="2"/>
  <c r="O11" i="2"/>
  <c r="R18" i="2"/>
  <c r="S18" i="2"/>
  <c r="V18" i="2"/>
  <c r="U18" i="2"/>
  <c r="T18" i="2"/>
  <c r="L18" i="2"/>
  <c r="M18" i="2"/>
  <c r="O18" i="2"/>
  <c r="N18" i="2"/>
  <c r="S41" i="2"/>
  <c r="R41" i="2"/>
  <c r="U41" i="2"/>
  <c r="T41" i="2"/>
  <c r="V41" i="2"/>
  <c r="M41" i="2"/>
  <c r="L41" i="2"/>
  <c r="N41" i="2"/>
  <c r="O41" i="2"/>
  <c r="R9" i="2"/>
  <c r="S9" i="2"/>
  <c r="T9" i="2"/>
  <c r="V9" i="2"/>
  <c r="U9" i="2"/>
  <c r="M9" i="2"/>
  <c r="N9" i="2"/>
  <c r="O9" i="2"/>
  <c r="L9" i="2"/>
  <c r="U48" i="2"/>
  <c r="S48" i="2"/>
  <c r="V48" i="2"/>
  <c r="T48" i="2"/>
  <c r="R48" i="2"/>
  <c r="M48" i="2"/>
  <c r="L48" i="2"/>
  <c r="N48" i="2"/>
  <c r="O48" i="2"/>
  <c r="U16" i="2"/>
  <c r="V16" i="2"/>
  <c r="S16" i="2"/>
  <c r="T16" i="2"/>
  <c r="R16" i="2"/>
  <c r="M16" i="2"/>
  <c r="N16" i="2"/>
  <c r="O16" i="2"/>
  <c r="L16" i="2"/>
  <c r="T47" i="2"/>
  <c r="V47" i="2"/>
  <c r="U47" i="2"/>
  <c r="R47" i="2"/>
  <c r="S47" i="2"/>
  <c r="N47" i="2"/>
  <c r="M47" i="2"/>
  <c r="O47" i="2"/>
  <c r="L47" i="2"/>
  <c r="T15" i="2"/>
  <c r="V15" i="2"/>
  <c r="U15" i="2"/>
  <c r="R15" i="2"/>
  <c r="S15" i="2"/>
  <c r="O15" i="2"/>
  <c r="N15" i="2"/>
  <c r="L15" i="2"/>
  <c r="M15" i="2"/>
  <c r="V7" i="2"/>
  <c r="U7" i="2"/>
  <c r="T7" i="2"/>
  <c r="S7" i="2"/>
  <c r="R7" i="2"/>
  <c r="N7" i="2"/>
  <c r="M7" i="2"/>
  <c r="O7" i="2"/>
  <c r="L7" i="2"/>
  <c r="U46" i="2"/>
  <c r="S46" i="2"/>
  <c r="R46" i="2"/>
  <c r="T46" i="2"/>
  <c r="V46" i="2"/>
  <c r="N46" i="2"/>
  <c r="M46" i="2"/>
  <c r="O46" i="2"/>
  <c r="L46" i="2"/>
  <c r="R38" i="2"/>
  <c r="V38" i="2"/>
  <c r="T38" i="2"/>
  <c r="U38" i="2"/>
  <c r="S38" i="2"/>
  <c r="N38" i="2"/>
  <c r="O38" i="2"/>
  <c r="L38" i="2"/>
  <c r="M38" i="2"/>
  <c r="S30" i="2"/>
  <c r="R30" i="2"/>
  <c r="T30" i="2"/>
  <c r="V30" i="2"/>
  <c r="U30" i="2"/>
  <c r="N30" i="2"/>
  <c r="M30" i="2"/>
  <c r="O30" i="2"/>
  <c r="L30" i="2"/>
  <c r="R22" i="2"/>
  <c r="S22" i="2"/>
  <c r="U22" i="2"/>
  <c r="T22" i="2"/>
  <c r="V22" i="2"/>
  <c r="N22" i="2"/>
  <c r="O22" i="2"/>
  <c r="M22" i="2"/>
  <c r="L22" i="2"/>
  <c r="V14" i="2"/>
  <c r="S14" i="2"/>
  <c r="T14" i="2"/>
  <c r="U14" i="2"/>
  <c r="R14" i="2"/>
  <c r="N14" i="2"/>
  <c r="L14" i="2"/>
  <c r="O14" i="2"/>
  <c r="M14" i="2"/>
  <c r="U6" i="2"/>
  <c r="R6" i="2"/>
  <c r="S6" i="2"/>
  <c r="T6" i="2"/>
  <c r="V6" i="2"/>
  <c r="N6" i="2"/>
  <c r="M6" i="2"/>
  <c r="O6" i="2"/>
  <c r="L6" i="2"/>
  <c r="S34" i="2"/>
  <c r="R34" i="2"/>
  <c r="T34" i="2"/>
  <c r="V34" i="2"/>
  <c r="U34" i="2"/>
  <c r="O34" i="2"/>
  <c r="M34" i="2"/>
  <c r="N34" i="2"/>
  <c r="L34" i="2"/>
  <c r="S33" i="2"/>
  <c r="R33" i="2"/>
  <c r="T33" i="2"/>
  <c r="V33" i="2"/>
  <c r="U33" i="2"/>
  <c r="M33" i="2"/>
  <c r="N33" i="2"/>
  <c r="O33" i="2"/>
  <c r="L33" i="2"/>
  <c r="U40" i="2"/>
  <c r="S40" i="2"/>
  <c r="V40" i="2"/>
  <c r="R40" i="2"/>
  <c r="T40" i="2"/>
  <c r="M40" i="2"/>
  <c r="N40" i="2"/>
  <c r="O40" i="2"/>
  <c r="L40" i="2"/>
  <c r="U8" i="2"/>
  <c r="S8" i="2"/>
  <c r="V8" i="2"/>
  <c r="T8" i="2"/>
  <c r="R8" i="2"/>
  <c r="M8" i="2"/>
  <c r="O8" i="2"/>
  <c r="L8" i="2"/>
  <c r="N8" i="2"/>
  <c r="V23" i="2"/>
  <c r="U23" i="2"/>
  <c r="T23" i="2"/>
  <c r="R23" i="2"/>
  <c r="S23" i="2"/>
  <c r="L23" i="2"/>
  <c r="N23" i="2"/>
  <c r="O23" i="2"/>
  <c r="M23" i="2"/>
  <c r="T45" i="2"/>
  <c r="V45" i="2"/>
  <c r="U45" i="2"/>
  <c r="R45" i="2"/>
  <c r="S45" i="2"/>
  <c r="O45" i="2"/>
  <c r="L45" i="2"/>
  <c r="N45" i="2"/>
  <c r="M45" i="2"/>
  <c r="V37" i="2"/>
  <c r="U37" i="2"/>
  <c r="R37" i="2"/>
  <c r="T37" i="2"/>
  <c r="S37" i="2"/>
  <c r="O37" i="2"/>
  <c r="M37" i="2"/>
  <c r="N37" i="2"/>
  <c r="L37" i="2"/>
  <c r="T29" i="2"/>
  <c r="V29" i="2"/>
  <c r="U29" i="2"/>
  <c r="R29" i="2"/>
  <c r="S29" i="2"/>
  <c r="L29" i="2"/>
  <c r="M29" i="2"/>
  <c r="O29" i="2"/>
  <c r="N29" i="2"/>
  <c r="V21" i="2"/>
  <c r="U21" i="2"/>
  <c r="R21" i="2"/>
  <c r="T21" i="2"/>
  <c r="S21" i="2"/>
  <c r="O21" i="2"/>
  <c r="L21" i="2"/>
  <c r="N21" i="2"/>
  <c r="M21" i="2"/>
  <c r="R13" i="2"/>
  <c r="S13" i="2"/>
  <c r="T13" i="2"/>
  <c r="V13" i="2"/>
  <c r="U13" i="2"/>
  <c r="L13" i="2"/>
  <c r="O13" i="2"/>
  <c r="M13" i="2"/>
  <c r="N13" i="2"/>
  <c r="T5" i="2"/>
  <c r="S5" i="2"/>
  <c r="V5" i="2"/>
  <c r="U5" i="2"/>
  <c r="R5" i="2"/>
  <c r="M5" i="2"/>
  <c r="O5" i="2"/>
  <c r="N5" i="2"/>
  <c r="L5" i="2"/>
  <c r="S26" i="2"/>
  <c r="R26" i="2"/>
  <c r="T26" i="2"/>
  <c r="V26" i="2"/>
  <c r="U26" i="2"/>
  <c r="L26" i="2"/>
  <c r="N26" i="2"/>
  <c r="M26" i="2"/>
  <c r="O26" i="2"/>
  <c r="S25" i="2"/>
  <c r="R25" i="2"/>
  <c r="T25" i="2"/>
  <c r="V25" i="2"/>
  <c r="U25" i="2"/>
  <c r="N25" i="2"/>
  <c r="M25" i="2"/>
  <c r="L25" i="2"/>
  <c r="O25" i="2"/>
  <c r="V24" i="2"/>
  <c r="U24" i="2"/>
  <c r="S24" i="2"/>
  <c r="T24" i="2"/>
  <c r="R24" i="2"/>
  <c r="M24" i="2"/>
  <c r="L24" i="2"/>
  <c r="N24" i="2"/>
  <c r="O24" i="2"/>
  <c r="V39" i="2"/>
  <c r="U39" i="2"/>
  <c r="T39" i="2"/>
  <c r="S39" i="2"/>
  <c r="R39" i="2"/>
  <c r="O39" i="2"/>
  <c r="N39" i="2"/>
  <c r="L39" i="2"/>
  <c r="M39" i="2"/>
  <c r="V44" i="2"/>
  <c r="U44" i="2"/>
  <c r="S44" i="2"/>
  <c r="T44" i="2"/>
  <c r="R44" i="2"/>
  <c r="O44" i="2"/>
  <c r="M44" i="2"/>
  <c r="N44" i="2"/>
  <c r="L44" i="2"/>
  <c r="V36" i="2"/>
  <c r="U36" i="2"/>
  <c r="S36" i="2"/>
  <c r="T36" i="2"/>
  <c r="R36" i="2"/>
  <c r="O36" i="2"/>
  <c r="L36" i="2"/>
  <c r="M36" i="2"/>
  <c r="N36" i="2"/>
  <c r="V28" i="2"/>
  <c r="U28" i="2"/>
  <c r="S28" i="2"/>
  <c r="T28" i="2"/>
  <c r="R28" i="2"/>
  <c r="O28" i="2"/>
  <c r="M28" i="2"/>
  <c r="N28" i="2"/>
  <c r="L28" i="2"/>
  <c r="V20" i="2"/>
  <c r="U20" i="2"/>
  <c r="S20" i="2"/>
  <c r="T20" i="2"/>
  <c r="R20" i="2"/>
  <c r="O20" i="2"/>
  <c r="L20" i="2"/>
  <c r="M20" i="2"/>
  <c r="N20" i="2"/>
  <c r="V12" i="2"/>
  <c r="U12" i="2"/>
  <c r="S12" i="2"/>
  <c r="T12" i="2"/>
  <c r="R12" i="2"/>
  <c r="O12" i="2"/>
  <c r="N12" i="2"/>
  <c r="L12" i="2"/>
  <c r="M12" i="2"/>
  <c r="V4" i="2"/>
  <c r="U4" i="2"/>
  <c r="S4" i="2"/>
  <c r="T4" i="2"/>
  <c r="R4" i="2"/>
  <c r="O4" i="2"/>
  <c r="L4" i="2"/>
  <c r="M4" i="2"/>
  <c r="N4" i="2"/>
  <c r="S3" i="2"/>
  <c r="R3" i="2"/>
  <c r="T3" i="2"/>
  <c r="V3" i="2"/>
  <c r="W3" i="2"/>
  <c r="U3" i="2"/>
  <c r="M3" i="2"/>
  <c r="L3" i="2"/>
  <c r="N3" i="2"/>
  <c r="O3" i="2"/>
  <c r="W42" i="2"/>
  <c r="W18" i="2"/>
  <c r="W49" i="2"/>
  <c r="W17" i="2"/>
  <c r="W48" i="2"/>
  <c r="W16" i="2"/>
  <c r="W39" i="2"/>
  <c r="W7" i="2"/>
  <c r="W43" i="2"/>
  <c r="W35" i="2"/>
  <c r="W27" i="2"/>
  <c r="W19" i="2"/>
  <c r="W11" i="2"/>
  <c r="W26" i="2"/>
  <c r="W33" i="2"/>
  <c r="W24" i="2"/>
  <c r="W31" i="2"/>
  <c r="W46" i="2"/>
  <c r="W38" i="2"/>
  <c r="W30" i="2"/>
  <c r="W22" i="2"/>
  <c r="W14" i="2"/>
  <c r="W6" i="2"/>
  <c r="W34" i="2"/>
  <c r="W41" i="2"/>
  <c r="W9" i="2"/>
  <c r="W32" i="2"/>
  <c r="W47" i="2"/>
  <c r="W15" i="2"/>
  <c r="W45" i="2"/>
  <c r="W37" i="2"/>
  <c r="W29" i="2"/>
  <c r="W21" i="2"/>
  <c r="W13" i="2"/>
  <c r="W5" i="2"/>
  <c r="W10" i="2"/>
  <c r="W25" i="2"/>
  <c r="W40" i="2"/>
  <c r="W8" i="2"/>
  <c r="W23" i="2"/>
  <c r="W44" i="2"/>
  <c r="W36" i="2"/>
  <c r="W28" i="2"/>
  <c r="W20" i="2"/>
  <c r="W12" i="2"/>
  <c r="W4" i="2"/>
  <c r="K18" i="2"/>
  <c r="K31" i="2"/>
  <c r="K49" i="2"/>
  <c r="K42" i="2"/>
  <c r="K4" i="2"/>
  <c r="K46" i="2"/>
  <c r="K26" i="2"/>
  <c r="K8" i="2"/>
  <c r="K15" i="2"/>
  <c r="K7" i="2"/>
  <c r="K33" i="2"/>
  <c r="K47" i="2"/>
  <c r="K40" i="2"/>
  <c r="K34" i="2"/>
  <c r="K27" i="2"/>
  <c r="K21" i="2"/>
  <c r="K14" i="2"/>
  <c r="K6" i="2"/>
  <c r="K39" i="2"/>
  <c r="K20" i="2"/>
  <c r="K13" i="2"/>
  <c r="K5" i="2"/>
  <c r="K30" i="2"/>
  <c r="K36" i="2"/>
  <c r="K24" i="2"/>
  <c r="K3" i="2"/>
  <c r="K37" i="2"/>
  <c r="K11" i="2"/>
  <c r="K45" i="2"/>
  <c r="K10" i="2"/>
  <c r="K43" i="2"/>
  <c r="K38" i="2"/>
  <c r="K25" i="2"/>
  <c r="K19" i="2"/>
  <c r="K12" i="2"/>
  <c r="K44" i="2"/>
  <c r="K32" i="2"/>
  <c r="K41" i="2"/>
  <c r="K29" i="2"/>
  <c r="K23" i="2"/>
  <c r="K17" i="2"/>
  <c r="K48" i="2"/>
  <c r="K35" i="2"/>
  <c r="K28" i="2"/>
  <c r="K22" i="2"/>
  <c r="K16" i="2"/>
  <c r="K9" i="2"/>
  <c r="J4" i="7" l="1"/>
  <c r="J6" i="7"/>
  <c r="AD43" i="2"/>
  <c r="AE37" i="2"/>
  <c r="AD29" i="2"/>
  <c r="AD46" i="2"/>
  <c r="N7" i="7"/>
  <c r="N5" i="7"/>
  <c r="AD37" i="2"/>
  <c r="AD4" i="2"/>
  <c r="J7" i="7"/>
  <c r="N4" i="7"/>
  <c r="J5" i="7"/>
  <c r="N6" i="7"/>
  <c r="AD40" i="2"/>
  <c r="AD38" i="2"/>
  <c r="AD11" i="2"/>
  <c r="AD8" i="2"/>
  <c r="AD18" i="2"/>
  <c r="AD39" i="2"/>
  <c r="AD45" i="2"/>
  <c r="X20" i="2"/>
  <c r="AC20" i="2" s="1"/>
  <c r="AD28" i="2"/>
  <c r="AD36" i="2"/>
  <c r="X26" i="2"/>
  <c r="AC26" i="2" s="1"/>
  <c r="X34" i="2"/>
  <c r="AC34" i="2" s="1"/>
  <c r="AD19" i="2"/>
  <c r="AD10" i="2"/>
  <c r="AD35" i="2"/>
  <c r="AD6" i="2"/>
  <c r="AD3" i="2"/>
  <c r="AD47" i="2"/>
  <c r="AD27" i="2"/>
  <c r="X44" i="2"/>
  <c r="AC44" i="2" s="1"/>
  <c r="AD21" i="2"/>
  <c r="AD33" i="2"/>
  <c r="AD34" i="2"/>
  <c r="X6" i="2"/>
  <c r="AC6" i="2" s="1"/>
  <c r="X15" i="2"/>
  <c r="AC15" i="2" s="1"/>
  <c r="X47" i="2"/>
  <c r="AC47" i="2" s="1"/>
  <c r="X18" i="2"/>
  <c r="AC18" i="2" s="1"/>
  <c r="X36" i="2"/>
  <c r="AC36" i="2" s="1"/>
  <c r="AD44" i="2"/>
  <c r="X13" i="2"/>
  <c r="AC13" i="2" s="1"/>
  <c r="X21" i="2"/>
  <c r="AC21" i="2" s="1"/>
  <c r="X37" i="2"/>
  <c r="AC37" i="2" s="1"/>
  <c r="AD7" i="2"/>
  <c r="AD15" i="2"/>
  <c r="X16" i="2"/>
  <c r="AC16" i="2" s="1"/>
  <c r="X11" i="2"/>
  <c r="AC11" i="2" s="1"/>
  <c r="AD49" i="2"/>
  <c r="AD42" i="2"/>
  <c r="X19" i="2"/>
  <c r="AC19" i="2" s="1"/>
  <c r="X3" i="2"/>
  <c r="AC3" i="2" s="1"/>
  <c r="AD24" i="2"/>
  <c r="X30" i="2"/>
  <c r="AC30" i="2" s="1"/>
  <c r="X9" i="2"/>
  <c r="AC9" i="2" s="1"/>
  <c r="X42" i="2"/>
  <c r="AC42" i="2" s="1"/>
  <c r="X24" i="2"/>
  <c r="AC24" i="2" s="1"/>
  <c r="X25" i="2"/>
  <c r="AC25" i="2" s="1"/>
  <c r="X45" i="2"/>
  <c r="AC45" i="2" s="1"/>
  <c r="AD14" i="2"/>
  <c r="X48" i="2"/>
  <c r="AC48" i="2" s="1"/>
  <c r="X32" i="2"/>
  <c r="AC32" i="2" s="1"/>
  <c r="X39" i="2"/>
  <c r="AC39" i="2" s="1"/>
  <c r="X27" i="2"/>
  <c r="AC27" i="2" s="1"/>
  <c r="X29" i="2"/>
  <c r="AC29" i="2" s="1"/>
  <c r="AD48" i="2"/>
  <c r="X35" i="2"/>
  <c r="AC35" i="2" s="1"/>
  <c r="X4" i="2"/>
  <c r="AC4" i="2" s="1"/>
  <c r="X12" i="2"/>
  <c r="AC12" i="2" s="1"/>
  <c r="AD20" i="2"/>
  <c r="X5" i="2"/>
  <c r="AC5" i="2" s="1"/>
  <c r="AD23" i="2"/>
  <c r="X8" i="2"/>
  <c r="AC8" i="2" s="1"/>
  <c r="X40" i="2"/>
  <c r="AC40" i="2" s="1"/>
  <c r="AD22" i="2"/>
  <c r="X38" i="2"/>
  <c r="AC38" i="2" s="1"/>
  <c r="X46" i="2"/>
  <c r="AC46" i="2" s="1"/>
  <c r="AD9" i="2"/>
  <c r="AD41" i="2"/>
  <c r="X43" i="2"/>
  <c r="AC43" i="2" s="1"/>
  <c r="AD17" i="2"/>
  <c r="X22" i="2"/>
  <c r="AC22" i="2" s="1"/>
  <c r="X10" i="2"/>
  <c r="AC10" i="2" s="1"/>
  <c r="X14" i="2"/>
  <c r="AC14" i="2" s="1"/>
  <c r="AD16" i="2"/>
  <c r="X31" i="2"/>
  <c r="AC31" i="2" s="1"/>
  <c r="AD12" i="2"/>
  <c r="X28" i="2"/>
  <c r="AC28" i="2" s="1"/>
  <c r="AD25" i="2"/>
  <c r="AD26" i="2"/>
  <c r="AD5" i="2"/>
  <c r="AD13" i="2"/>
  <c r="X23" i="2"/>
  <c r="AC23" i="2" s="1"/>
  <c r="X33" i="2"/>
  <c r="AC33" i="2" s="1"/>
  <c r="AD30" i="2"/>
  <c r="X7" i="2"/>
  <c r="AC7" i="2" s="1"/>
  <c r="X41" i="2"/>
  <c r="AC41" i="2" s="1"/>
  <c r="AD31" i="2"/>
  <c r="AD32" i="2"/>
  <c r="X17" i="2"/>
  <c r="AC17" i="2" s="1"/>
  <c r="X49" i="2"/>
  <c r="AC49" i="2" s="1"/>
  <c r="AB14" i="2"/>
  <c r="AB42" i="2"/>
  <c r="AB24" i="2"/>
  <c r="AB45" i="2"/>
  <c r="AB4" i="2"/>
  <c r="AB5" i="2"/>
  <c r="AB36" i="2"/>
  <c r="AB13" i="2"/>
  <c r="AB21" i="2"/>
  <c r="AB37" i="2"/>
  <c r="AB16" i="2"/>
  <c r="AB11" i="2"/>
  <c r="AB39" i="2"/>
  <c r="AB29" i="2"/>
  <c r="AB9" i="2"/>
  <c r="AB25" i="2"/>
  <c r="AB40" i="2"/>
  <c r="AB46" i="2"/>
  <c r="AB28" i="2"/>
  <c r="AB33" i="2"/>
  <c r="AB41" i="2"/>
  <c r="AB17" i="2"/>
  <c r="AB49" i="2"/>
  <c r="AB10" i="2"/>
  <c r="AB30" i="2"/>
  <c r="AB8" i="2"/>
  <c r="AB20" i="2"/>
  <c r="AB26" i="2"/>
  <c r="AB34" i="2"/>
  <c r="AB22" i="2"/>
  <c r="AB27" i="2"/>
  <c r="AB31" i="2"/>
  <c r="AB48" i="2"/>
  <c r="AB32" i="2"/>
  <c r="AB12" i="2"/>
  <c r="AB43" i="2"/>
  <c r="AB44" i="2"/>
  <c r="AB6" i="2"/>
  <c r="AB15" i="2"/>
  <c r="AB47" i="2"/>
  <c r="AB18" i="2"/>
  <c r="AB35" i="2"/>
</calcChain>
</file>

<file path=xl/sharedStrings.xml><?xml version="1.0" encoding="utf-8"?>
<sst xmlns="http://schemas.openxmlformats.org/spreadsheetml/2006/main" count="1048" uniqueCount="154">
  <si>
    <t>Pipe OD</t>
  </si>
  <si>
    <t>Allowable Deflection</t>
  </si>
  <si>
    <t>Allowable Bendig Stress</t>
  </si>
  <si>
    <t>mm</t>
  </si>
  <si>
    <t>N/mm^2</t>
  </si>
  <si>
    <t>10S</t>
  </si>
  <si>
    <t>-</t>
  </si>
  <si>
    <t>Sch 40</t>
  </si>
  <si>
    <t>STD</t>
  </si>
  <si>
    <t>Sch 80</t>
  </si>
  <si>
    <t>XS</t>
  </si>
  <si>
    <t>Pipe Size</t>
  </si>
  <si>
    <t>Sch</t>
  </si>
  <si>
    <t>Thk</t>
  </si>
  <si>
    <t>Pipe Wt</t>
  </si>
  <si>
    <t>Ins. Thk</t>
  </si>
  <si>
    <t>Input</t>
  </si>
  <si>
    <t>Unit</t>
  </si>
  <si>
    <t xml:space="preserve">Insulation Density </t>
  </si>
  <si>
    <t>Kg/m^3</t>
  </si>
  <si>
    <t xml:space="preserve">Water Density </t>
  </si>
  <si>
    <t>Ins. Wt</t>
  </si>
  <si>
    <t>Water Wt</t>
  </si>
  <si>
    <t>M.I</t>
  </si>
  <si>
    <t>for 42" pipe and directly proportional for other size</t>
  </si>
  <si>
    <t>N/m</t>
  </si>
  <si>
    <r>
      <t>cm</t>
    </r>
    <r>
      <rPr>
        <b/>
        <vertAlign val="superscript"/>
        <sz val="10"/>
        <color theme="1"/>
        <rFont val="Arial"/>
        <family val="2"/>
      </rPr>
      <t>4</t>
    </r>
  </si>
  <si>
    <t>Indentation</t>
  </si>
  <si>
    <t>Span per</t>
  </si>
  <si>
    <t>S=0.67 Sh</t>
  </si>
  <si>
    <t>Bearing width</t>
  </si>
  <si>
    <t>Bearing Length (d)</t>
  </si>
  <si>
    <t>Bearing Width (b)</t>
  </si>
  <si>
    <t>FEED</t>
  </si>
  <si>
    <t>Span</t>
  </si>
  <si>
    <t>QMS</t>
  </si>
  <si>
    <t>Fixed Beam Span (Civil Hand Book)</t>
  </si>
  <si>
    <t>PSI</t>
  </si>
  <si>
    <t>in</t>
  </si>
  <si>
    <t>Simply Supported
BS:3974</t>
  </si>
  <si>
    <t>Stress 
(Span in m)</t>
  </si>
  <si>
    <t>Deflection
 (Span in m)</t>
  </si>
  <si>
    <t>Continuous Beam 
BS:3974</t>
  </si>
  <si>
    <t>Factor</t>
  </si>
  <si>
    <t>Value</t>
  </si>
  <si>
    <t xml:space="preserve">Young's Modules (E) </t>
  </si>
  <si>
    <t>Average Span (LC Peng)</t>
  </si>
  <si>
    <t>Average Span (Kellog)</t>
  </si>
  <si>
    <t>Rack Span</t>
  </si>
  <si>
    <t>Span (m)</t>
  </si>
  <si>
    <t>Least of All</t>
  </si>
  <si>
    <t>Continuous Beam Span (Civil Hand Book)</t>
  </si>
  <si>
    <t>Beam Type</t>
  </si>
  <si>
    <t>Span Factor in Deflection</t>
  </si>
  <si>
    <t>Span Factor in Stress</t>
  </si>
  <si>
    <t>Simply Supported</t>
  </si>
  <si>
    <t xml:space="preserve">Continuous </t>
  </si>
  <si>
    <t>Fixed</t>
  </si>
  <si>
    <t>Average method</t>
  </si>
  <si>
    <t>QMS Vs</t>
  </si>
  <si>
    <t>Least</t>
  </si>
  <si>
    <t>FEED Vs</t>
  </si>
  <si>
    <t>BS-Cont, Beam</t>
  </si>
  <si>
    <t>Pipe Wt+ Insul Wt</t>
  </si>
  <si>
    <t>Pipe Wt+ Water Wt</t>
  </si>
  <si>
    <t>NOMINAL PIPE SIZE NB. (INCH)</t>
  </si>
  <si>
    <r>
      <t>MAXIMUM SPAN  ‘ L’ (mm), (</t>
    </r>
    <r>
      <rPr>
        <b/>
        <sz val="11"/>
        <color theme="1"/>
        <rFont val="Arial"/>
        <family val="2"/>
      </rPr>
      <t>NOTES 1 to 4)</t>
    </r>
  </si>
  <si>
    <t>VAPOUR SERVICE</t>
  </si>
  <si>
    <t>WATER SERVICE</t>
  </si>
  <si>
    <t>BARE</t>
  </si>
  <si>
    <t>INSULATED</t>
  </si>
  <si>
    <t>MAXIMUM SPAN ‘ L’ (mm), (NOTES 1 to 4)</t>
  </si>
  <si>
    <t xml:space="preserve">INSULATED </t>
  </si>
  <si>
    <t>FIXED BEAM METHOD</t>
  </si>
  <si>
    <t>Continuous BEAM METHOD</t>
  </si>
  <si>
    <t>B31.1 Check</t>
  </si>
  <si>
    <t>Basis ~1/3 of 20000 PSI (137.4 N/mm^2)</t>
  </si>
  <si>
    <t>GC-32</t>
  </si>
  <si>
    <t>DUQM</t>
  </si>
  <si>
    <t>=</t>
  </si>
  <si>
    <t>2"</t>
  </si>
  <si>
    <r>
      <t>N/mm</t>
    </r>
    <r>
      <rPr>
        <vertAlign val="superscript"/>
        <sz val="10"/>
        <color theme="1"/>
        <rFont val="Arial"/>
        <family val="2"/>
      </rPr>
      <t>2</t>
    </r>
  </si>
  <si>
    <t>Moment of Intertia of Pipe</t>
  </si>
  <si>
    <r>
      <t>π x (D</t>
    </r>
    <r>
      <rPr>
        <vertAlign val="superscript"/>
        <sz val="10"/>
        <color theme="1"/>
        <rFont val="Arial"/>
        <family val="2"/>
      </rPr>
      <t>4</t>
    </r>
    <r>
      <rPr>
        <sz val="10"/>
        <color theme="1"/>
        <rFont val="Arial"/>
        <family val="2"/>
      </rPr>
      <t xml:space="preserve"> - d</t>
    </r>
    <r>
      <rPr>
        <vertAlign val="superscript"/>
        <sz val="10"/>
        <color theme="1"/>
        <rFont val="Arial"/>
        <family val="2"/>
      </rPr>
      <t>4</t>
    </r>
    <r>
      <rPr>
        <sz val="10"/>
        <color theme="1"/>
        <rFont val="Arial"/>
        <family val="2"/>
      </rPr>
      <t>)</t>
    </r>
  </si>
  <si>
    <t xml:space="preserve">Pipe outside Diameter </t>
  </si>
  <si>
    <t>D</t>
  </si>
  <si>
    <t>Pipe Sch</t>
  </si>
  <si>
    <t>Pipe Wall Thickness</t>
  </si>
  <si>
    <t>t</t>
  </si>
  <si>
    <t xml:space="preserve">Pipe Inside Diameter </t>
  </si>
  <si>
    <t>d</t>
  </si>
  <si>
    <t>Young's Modules</t>
  </si>
  <si>
    <t>E</t>
  </si>
  <si>
    <t>f</t>
  </si>
  <si>
    <t>I</t>
  </si>
  <si>
    <r>
      <t>mm</t>
    </r>
    <r>
      <rPr>
        <vertAlign val="superscript"/>
        <sz val="10"/>
        <color theme="1"/>
        <rFont val="Arial"/>
        <family val="2"/>
      </rPr>
      <t>4</t>
    </r>
  </si>
  <si>
    <t>3.143 x</t>
  </si>
  <si>
    <t>Calculation of Allowable Span based on Continuous Beam Method :</t>
  </si>
  <si>
    <t>Max. Bending Stress</t>
  </si>
  <si>
    <r>
      <t>f</t>
    </r>
    <r>
      <rPr>
        <vertAlign val="subscript"/>
        <sz val="10"/>
        <color theme="1"/>
        <rFont val="Arial"/>
        <family val="2"/>
      </rPr>
      <t>max</t>
    </r>
  </si>
  <si>
    <t>[</t>
  </si>
  <si>
    <t>w</t>
  </si>
  <si>
    <r>
      <t>w x L</t>
    </r>
    <r>
      <rPr>
        <vertAlign val="superscript"/>
        <sz val="10"/>
        <color theme="1"/>
        <rFont val="Arial"/>
        <family val="2"/>
      </rPr>
      <t>2</t>
    </r>
  </si>
  <si>
    <t>]</t>
  </si>
  <si>
    <t>Max. Allowable Span</t>
  </si>
  <si>
    <t>L</t>
  </si>
  <si>
    <t>x</t>
  </si>
  <si>
    <t>240 x</t>
  </si>
  <si>
    <t>x I</t>
  </si>
  <si>
    <t>Ö</t>
  </si>
  <si>
    <r>
      <t>cm</t>
    </r>
    <r>
      <rPr>
        <vertAlign val="superscript"/>
        <sz val="10"/>
        <color theme="1"/>
        <rFont val="Arial"/>
        <family val="2"/>
      </rPr>
      <t>4</t>
    </r>
  </si>
  <si>
    <t>m</t>
  </si>
  <si>
    <t>---------------------</t>
  </si>
  <si>
    <t>Max. Deflection</t>
  </si>
  <si>
    <r>
      <t>D</t>
    </r>
    <r>
      <rPr>
        <vertAlign val="subscript"/>
        <sz val="10"/>
        <color theme="1"/>
        <rFont val="Calibri"/>
        <family val="2"/>
        <scheme val="minor"/>
      </rPr>
      <t>max</t>
    </r>
  </si>
  <si>
    <t>E x I</t>
  </si>
  <si>
    <r>
      <t>w x L</t>
    </r>
    <r>
      <rPr>
        <vertAlign val="superscript"/>
        <sz val="10"/>
        <color theme="1"/>
        <rFont val="Arial"/>
        <family val="2"/>
      </rPr>
      <t>4</t>
    </r>
  </si>
  <si>
    <t>384 x</t>
  </si>
  <si>
    <t xml:space="preserve">Min of </t>
  </si>
  <si>
    <t xml:space="preserve">AND </t>
  </si>
  <si>
    <t>------------------------------------------------------------------------------------------------------------------------------------------------</t>
  </si>
  <si>
    <t>Span Provided in the Piping Support Standard</t>
  </si>
  <si>
    <t>Hence OK</t>
  </si>
  <si>
    <t>Pipe Span Calculation based on Continuous Beam Method</t>
  </si>
  <si>
    <t xml:space="preserve"> (Reference BS : 3974 : Part 1)</t>
  </si>
  <si>
    <r>
      <t>Kg/m</t>
    </r>
    <r>
      <rPr>
        <vertAlign val="superscript"/>
        <sz val="10"/>
        <color theme="1"/>
        <rFont val="Arial"/>
        <family val="2"/>
      </rPr>
      <t>3</t>
    </r>
  </si>
  <si>
    <t>Insulation Thickness</t>
  </si>
  <si>
    <t>Pipe + Insulation Weight</t>
  </si>
  <si>
    <t>Water Weight</t>
  </si>
  <si>
    <t>Pipe + Water Weight</t>
  </si>
  <si>
    <t>Empty Pipe Weight</t>
  </si>
  <si>
    <t>Insulation Weight</t>
  </si>
  <si>
    <t>Water Density</t>
  </si>
  <si>
    <t>Pipe+Insulation+Water Weight</t>
  </si>
  <si>
    <t>Span as per Piping Support Standard :</t>
  </si>
  <si>
    <t>≤</t>
  </si>
  <si>
    <t>1) Bare Pipe With Vapour</t>
  </si>
  <si>
    <t>1) Bare Pipe With Vapour :</t>
  </si>
  <si>
    <t>2) Insulated Pipe With Vapour :</t>
  </si>
  <si>
    <t>3) Bare Pipe with Water :</t>
  </si>
  <si>
    <t>4) Insulated Pipe with Water :</t>
  </si>
  <si>
    <r>
      <t xml:space="preserve">4 </t>
    </r>
    <r>
      <rPr>
        <sz val="10"/>
        <color theme="1"/>
        <rFont val="Arial"/>
        <family val="2"/>
      </rPr>
      <t>)</t>
    </r>
  </si>
  <si>
    <t>ATTACHMENT - 1A</t>
  </si>
  <si>
    <t>2" Sch 40</t>
  </si>
  <si>
    <t>2) Insulated Pipe With Vapour</t>
  </si>
  <si>
    <t>3) Bare Pipe with Water</t>
  </si>
  <si>
    <t>4) Insulated Pipe with Water</t>
  </si>
  <si>
    <t>Sample Calculation For Pipe Span based on Continuous Beam Method</t>
  </si>
  <si>
    <t>Pipe Size Considered for the Calculation</t>
  </si>
  <si>
    <t>Sample Clculation Provided for the following cases :</t>
  </si>
  <si>
    <t>FEED SPAN</t>
  </si>
  <si>
    <t>Upto 175° C</t>
  </si>
  <si>
    <t>176 - 315° C</t>
  </si>
  <si>
    <t>316 - 400°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</si>
</sst>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27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vertAlign val="superscript"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0"/>
      <color rgb="FFFF0000"/>
      <name val="Arial"/>
      <family val="2"/>
    </font>
    <font>
      <vertAlign val="superscript"/>
      <sz val="10"/>
      <color theme="1"/>
      <name val="Arial"/>
      <family val="2"/>
    </font>
    <font>
      <sz val="10"/>
      <color theme="1"/>
      <name val="Symbol"/>
      <family val="1"/>
      <charset val="2"/>
    </font>
    <font>
      <u/>
      <sz val="10"/>
      <color theme="1"/>
      <name val="Arial"/>
      <family val="2"/>
    </font>
    <font>
      <vertAlign val="subscript"/>
      <sz val="10"/>
      <color theme="1"/>
      <name val="Arial"/>
      <family val="2"/>
    </font>
    <font>
      <sz val="22"/>
      <color theme="1"/>
      <name val="Arial"/>
      <family val="2"/>
    </font>
    <font>
      <sz val="25"/>
      <name val="Symbol"/>
      <family val="1"/>
      <charset val="2"/>
    </font>
    <font>
      <vertAlign val="subscript"/>
      <sz val="10"/>
      <color theme="1"/>
      <name val="Calibri"/>
      <family val="2"/>
      <scheme val="minor"/>
    </font>
    <font>
      <sz val="10"/>
      <color rgb="FF132BDD"/>
      <name val="Arial"/>
      <family val="2"/>
    </font>
    <font>
      <b/>
      <sz val="10"/>
      <color rgb="FF132BDD"/>
      <name val="Arial"/>
      <family val="2"/>
    </font>
    <font>
      <b/>
      <u/>
      <sz val="10"/>
      <color theme="1"/>
      <name val="Arial"/>
      <family val="2"/>
    </font>
    <font>
      <b/>
      <sz val="14"/>
      <color rgb="FF132BDD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9FF66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9" fontId="4" fillId="0" borderId="0" applyFont="0" applyFill="0" applyBorder="0" applyAlignment="0" applyProtection="0"/>
  </cellStyleXfs>
  <cellXfs count="189">
    <xf numFmtId="0" fontId="0" fillId="0" borderId="0" xfId="0"/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2" fontId="2" fillId="0" borderId="1" xfId="1" quotePrefix="1" applyNumberFormat="1" applyFont="1" applyBorder="1" applyAlignment="1" applyProtection="1">
      <alignment horizontal="center" vertical="center"/>
      <protection hidden="1"/>
    </xf>
    <xf numFmtId="164" fontId="2" fillId="0" borderId="1" xfId="1" quotePrefix="1" applyNumberFormat="1" applyFont="1" applyBorder="1" applyAlignment="1" applyProtection="1">
      <alignment horizontal="center" vertical="center"/>
      <protection hidden="1"/>
    </xf>
    <xf numFmtId="0" fontId="2" fillId="0" borderId="1" xfId="1" applyFont="1" applyBorder="1" applyAlignment="1" applyProtection="1">
      <alignment horizontal="center" vertical="center"/>
      <protection hidden="1"/>
    </xf>
    <xf numFmtId="2" fontId="2" fillId="0" borderId="1" xfId="1" applyNumberFormat="1" applyFont="1" applyBorder="1" applyAlignment="1" applyProtection="1">
      <alignment horizontal="center" vertical="center"/>
      <protection hidden="1"/>
    </xf>
    <xf numFmtId="12" fontId="2" fillId="0" borderId="1" xfId="1" applyNumberFormat="1" applyFont="1" applyBorder="1" applyAlignment="1" applyProtection="1">
      <alignment horizontal="center" vertical="center"/>
      <protection hidden="1"/>
    </xf>
    <xf numFmtId="12" fontId="2" fillId="0" borderId="1" xfId="1" applyNumberFormat="1" applyFont="1" applyFill="1" applyBorder="1" applyAlignment="1" applyProtection="1">
      <alignment horizontal="center" vertical="center"/>
      <protection hidden="1"/>
    </xf>
    <xf numFmtId="164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165" fontId="0" fillId="0" borderId="0" xfId="0" applyNumberFormat="1" applyAlignment="1">
      <alignment vertical="center"/>
    </xf>
    <xf numFmtId="164" fontId="0" fillId="0" borderId="0" xfId="0" applyNumberFormat="1" applyAlignment="1">
      <alignment horizontal="right" vertical="center"/>
    </xf>
    <xf numFmtId="0" fontId="1" fillId="0" borderId="1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1" xfId="0" applyBorder="1"/>
    <xf numFmtId="0" fontId="0" fillId="6" borderId="1" xfId="0" applyFont="1" applyFill="1" applyBorder="1" applyAlignment="1">
      <alignment vertical="center"/>
    </xf>
    <xf numFmtId="2" fontId="0" fillId="0" borderId="1" xfId="0" applyNumberFormat="1" applyBorder="1"/>
    <xf numFmtId="0" fontId="0" fillId="6" borderId="2" xfId="0" applyFill="1" applyBorder="1"/>
    <xf numFmtId="0" fontId="0" fillId="6" borderId="2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 wrapText="1"/>
    </xf>
    <xf numFmtId="9" fontId="0" fillId="0" borderId="1" xfId="2" applyFont="1" applyBorder="1" applyAlignment="1">
      <alignment horizontal="center" vertical="center"/>
    </xf>
    <xf numFmtId="9" fontId="0" fillId="0" borderId="1" xfId="2" quotePrefix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1" fontId="8" fillId="0" borderId="3" xfId="0" applyNumberFormat="1" applyFont="1" applyBorder="1" applyAlignment="1">
      <alignment horizontal="center" vertical="center" wrapText="1"/>
    </xf>
    <xf numFmtId="9" fontId="0" fillId="0" borderId="0" xfId="2" applyFont="1"/>
    <xf numFmtId="0" fontId="0" fillId="0" borderId="0" xfId="0" applyAlignment="1">
      <alignment horizontal="center"/>
    </xf>
    <xf numFmtId="0" fontId="0" fillId="0" borderId="11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12" xfId="0" applyBorder="1" applyAlignment="1">
      <alignment horizontal="right" vertical="center"/>
    </xf>
    <xf numFmtId="0" fontId="0" fillId="0" borderId="12" xfId="0" applyBorder="1" applyAlignment="1">
      <alignment horizontal="left" vertical="center"/>
    </xf>
    <xf numFmtId="0" fontId="1" fillId="7" borderId="14" xfId="0" applyFont="1" applyFill="1" applyBorder="1" applyAlignment="1">
      <alignment horizontal="right" vertical="center"/>
    </xf>
    <xf numFmtId="0" fontId="1" fillId="7" borderId="15" xfId="0" applyFont="1" applyFill="1" applyBorder="1" applyAlignment="1">
      <alignment horizontal="center" vertical="center"/>
    </xf>
    <xf numFmtId="0" fontId="1" fillId="7" borderId="16" xfId="0" applyFont="1" applyFill="1" applyBorder="1" applyAlignment="1">
      <alignment vertical="center"/>
    </xf>
    <xf numFmtId="0" fontId="11" fillId="0" borderId="11" xfId="0" applyFont="1" applyBorder="1" applyAlignment="1">
      <alignment horizontal="left" vertical="center"/>
    </xf>
    <xf numFmtId="0" fontId="12" fillId="0" borderId="12" xfId="0" applyFont="1" applyBorder="1" applyAlignment="1">
      <alignment horizontal="center" vertical="center"/>
    </xf>
    <xf numFmtId="0" fontId="1" fillId="10" borderId="14" xfId="0" applyFont="1" applyFill="1" applyBorder="1" applyAlignment="1">
      <alignment horizontal="right" vertical="center"/>
    </xf>
    <xf numFmtId="0" fontId="1" fillId="10" borderId="15" xfId="0" applyFont="1" applyFill="1" applyBorder="1" applyAlignment="1">
      <alignment horizontal="center" vertical="center"/>
    </xf>
    <xf numFmtId="0" fontId="1" fillId="10" borderId="16" xfId="0" applyFont="1" applyFill="1" applyBorder="1" applyAlignment="1">
      <alignment vertical="center"/>
    </xf>
    <xf numFmtId="0" fontId="0" fillId="10" borderId="13" xfId="0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0" fillId="6" borderId="0" xfId="0" applyFill="1" applyAlignment="1">
      <alignment vertical="center"/>
    </xf>
    <xf numFmtId="0" fontId="1" fillId="6" borderId="0" xfId="0" applyFont="1" applyFill="1" applyBorder="1" applyAlignment="1">
      <alignment horizontal="right" vertical="center"/>
    </xf>
    <xf numFmtId="0" fontId="1" fillId="6" borderId="0" xfId="0" applyFont="1" applyFill="1" applyBorder="1" applyAlignment="1">
      <alignment horizontal="center" vertical="center"/>
    </xf>
    <xf numFmtId="164" fontId="1" fillId="6" borderId="0" xfId="0" applyNumberFormat="1" applyFont="1" applyFill="1" applyBorder="1" applyAlignment="1">
      <alignment horizontal="center" vertical="top"/>
    </xf>
    <xf numFmtId="0" fontId="1" fillId="6" borderId="0" xfId="0" applyFont="1" applyFill="1" applyBorder="1" applyAlignment="1">
      <alignment vertical="center"/>
    </xf>
    <xf numFmtId="0" fontId="0" fillId="6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11" xfId="0" applyFont="1" applyBorder="1" applyAlignment="1">
      <alignment vertical="center"/>
    </xf>
    <xf numFmtId="0" fontId="23" fillId="0" borderId="20" xfId="0" applyFont="1" applyBorder="1" applyAlignment="1">
      <alignment vertical="center"/>
    </xf>
    <xf numFmtId="0" fontId="22" fillId="0" borderId="21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22" fillId="0" borderId="0" xfId="0" applyFont="1" applyBorder="1" applyAlignment="1">
      <alignment horizontal="left" vertical="center"/>
    </xf>
    <xf numFmtId="0" fontId="23" fillId="0" borderId="0" xfId="0" applyFont="1" applyBorder="1" applyAlignment="1">
      <alignment vertical="center"/>
    </xf>
    <xf numFmtId="0" fontId="23" fillId="0" borderId="22" xfId="0" applyFont="1" applyBorder="1" applyAlignment="1">
      <alignment vertical="center"/>
    </xf>
    <xf numFmtId="0" fontId="22" fillId="0" borderId="21" xfId="0" applyFont="1" applyBorder="1" applyAlignment="1">
      <alignment horizontal="left" vertical="center"/>
    </xf>
    <xf numFmtId="0" fontId="24" fillId="0" borderId="0" xfId="0" applyFont="1" applyBorder="1" applyAlignment="1">
      <alignment horizontal="center" vertical="center"/>
    </xf>
    <xf numFmtId="0" fontId="1" fillId="0" borderId="21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0" fillId="0" borderId="22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0" xfId="0" quotePrefix="1" applyBorder="1" applyAlignment="1">
      <alignment vertical="center"/>
    </xf>
    <xf numFmtId="0" fontId="0" fillId="0" borderId="0" xfId="0" quotePrefix="1" applyBorder="1" applyAlignment="1">
      <alignment horizontal="center" vertical="center"/>
    </xf>
    <xf numFmtId="0" fontId="12" fillId="0" borderId="0" xfId="0" applyFont="1" applyBorder="1" applyAlignment="1">
      <alignment vertical="center"/>
    </xf>
    <xf numFmtId="0" fontId="0" fillId="0" borderId="21" xfId="0" quotePrefix="1" applyBorder="1" applyAlignment="1">
      <alignment vertical="center"/>
    </xf>
    <xf numFmtId="2" fontId="0" fillId="0" borderId="0" xfId="0" applyNumberFormat="1" applyBorder="1" applyAlignment="1">
      <alignment horizontal="left" vertical="center" wrapText="1"/>
    </xf>
    <xf numFmtId="1" fontId="11" fillId="0" borderId="0" xfId="0" quotePrefix="1" applyNumberFormat="1" applyFont="1" applyBorder="1" applyAlignment="1">
      <alignment horizontal="left" vertical="center"/>
    </xf>
    <xf numFmtId="1" fontId="11" fillId="0" borderId="0" xfId="0" quotePrefix="1" applyNumberFormat="1" applyFont="1" applyBorder="1" applyAlignment="1">
      <alignment horizontal="left"/>
    </xf>
    <xf numFmtId="0" fontId="13" fillId="0" borderId="21" xfId="0" applyFont="1" applyBorder="1" applyAlignment="1">
      <alignment vertical="center"/>
    </xf>
    <xf numFmtId="0" fontId="14" fillId="0" borderId="0" xfId="0" applyFont="1" applyBorder="1" applyAlignment="1">
      <alignment horizontal="right" vertical="center"/>
    </xf>
    <xf numFmtId="0" fontId="0" fillId="0" borderId="20" xfId="0" applyBorder="1" applyAlignment="1">
      <alignment vertical="center"/>
    </xf>
    <xf numFmtId="0" fontId="12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top" shrinkToFit="1"/>
    </xf>
    <xf numFmtId="0" fontId="0" fillId="6" borderId="0" xfId="0" applyFill="1" applyBorder="1" applyAlignment="1">
      <alignment vertical="center"/>
    </xf>
    <xf numFmtId="0" fontId="0" fillId="6" borderId="0" xfId="0" quotePrefix="1" applyFill="1" applyBorder="1" applyAlignment="1">
      <alignment vertical="center"/>
    </xf>
    <xf numFmtId="0" fontId="19" fillId="0" borderId="21" xfId="0" applyFont="1" applyBorder="1" applyAlignment="1">
      <alignment vertical="center"/>
    </xf>
    <xf numFmtId="0" fontId="19" fillId="0" borderId="0" xfId="0" applyFont="1" applyBorder="1" applyAlignment="1">
      <alignment vertical="center"/>
    </xf>
    <xf numFmtId="0" fontId="19" fillId="0" borderId="0" xfId="0" applyFont="1" applyBorder="1" applyAlignment="1">
      <alignment horizontal="center" vertical="center"/>
    </xf>
    <xf numFmtId="0" fontId="18" fillId="0" borderId="0" xfId="0" applyFont="1" applyBorder="1" applyAlignment="1">
      <alignment vertical="center"/>
    </xf>
    <xf numFmtId="164" fontId="19" fillId="7" borderId="0" xfId="0" applyNumberFormat="1" applyFont="1" applyFill="1" applyBorder="1" applyAlignment="1">
      <alignment vertical="center"/>
    </xf>
    <xf numFmtId="0" fontId="21" fillId="0" borderId="0" xfId="0" applyFont="1" applyBorder="1" applyAlignment="1">
      <alignment horizontal="center" vertical="center"/>
    </xf>
    <xf numFmtId="164" fontId="19" fillId="0" borderId="0" xfId="0" applyNumberFormat="1" applyFont="1" applyBorder="1" applyAlignment="1">
      <alignment vertical="center"/>
    </xf>
    <xf numFmtId="0" fontId="18" fillId="0" borderId="22" xfId="0" applyFont="1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20" fillId="0" borderId="21" xfId="0" applyFont="1" applyBorder="1" applyAlignment="1">
      <alignment horizontal="left" vertical="center"/>
    </xf>
    <xf numFmtId="0" fontId="0" fillId="7" borderId="0" xfId="0" applyFill="1" applyBorder="1" applyAlignment="1">
      <alignment horizontal="left" vertical="center"/>
    </xf>
    <xf numFmtId="0" fontId="0" fillId="6" borderId="21" xfId="0" applyFill="1" applyBorder="1" applyAlignment="1">
      <alignment vertical="center"/>
    </xf>
    <xf numFmtId="0" fontId="0" fillId="6" borderId="0" xfId="0" applyFill="1" applyBorder="1" applyAlignment="1">
      <alignment horizontal="left" vertical="center"/>
    </xf>
    <xf numFmtId="0" fontId="0" fillId="6" borderId="22" xfId="0" applyFill="1" applyBorder="1" applyAlignment="1">
      <alignment vertical="center"/>
    </xf>
    <xf numFmtId="0" fontId="24" fillId="0" borderId="21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0" fillId="0" borderId="0" xfId="0" applyBorder="1"/>
    <xf numFmtId="0" fontId="24" fillId="0" borderId="0" xfId="0" applyFont="1" applyBorder="1" applyAlignment="1">
      <alignment vertical="center"/>
    </xf>
    <xf numFmtId="0" fontId="22" fillId="0" borderId="0" xfId="0" applyFont="1" applyBorder="1" applyAlignment="1">
      <alignment vertical="center"/>
    </xf>
    <xf numFmtId="0" fontId="0" fillId="0" borderId="0" xfId="0" applyFont="1" applyBorder="1"/>
    <xf numFmtId="0" fontId="24" fillId="0" borderId="0" xfId="0" applyFont="1" applyBorder="1" applyAlignment="1">
      <alignment horizontal="left" vertical="center"/>
    </xf>
    <xf numFmtId="0" fontId="25" fillId="0" borderId="0" xfId="0" applyFont="1" applyBorder="1"/>
    <xf numFmtId="0" fontId="23" fillId="0" borderId="0" xfId="0" applyFont="1" applyBorder="1"/>
    <xf numFmtId="0" fontId="0" fillId="0" borderId="0" xfId="0" applyBorder="1" applyAlignment="1">
      <alignment horizontal="center"/>
    </xf>
    <xf numFmtId="0" fontId="25" fillId="0" borderId="20" xfId="0" applyFont="1" applyBorder="1"/>
    <xf numFmtId="0" fontId="0" fillId="0" borderId="21" xfId="0" applyBorder="1"/>
    <xf numFmtId="0" fontId="0" fillId="0" borderId="22" xfId="0" applyBorder="1"/>
    <xf numFmtId="0" fontId="22" fillId="0" borderId="21" xfId="0" applyFont="1" applyBorder="1" applyAlignment="1">
      <alignment vertical="center"/>
    </xf>
    <xf numFmtId="0" fontId="24" fillId="0" borderId="21" xfId="0" applyFont="1" applyBorder="1" applyAlignment="1">
      <alignment vertical="center"/>
    </xf>
    <xf numFmtId="0" fontId="23" fillId="0" borderId="21" xfId="0" applyFont="1" applyBorder="1"/>
    <xf numFmtId="0" fontId="23" fillId="0" borderId="22" xfId="0" applyFont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2" fontId="0" fillId="0" borderId="1" xfId="0" applyNumberFormat="1" applyBorder="1" applyAlignment="1">
      <alignment vertical="center"/>
    </xf>
    <xf numFmtId="2" fontId="0" fillId="0" borderId="0" xfId="0" applyNumberFormat="1" applyAlignment="1">
      <alignment vertical="center"/>
    </xf>
    <xf numFmtId="0" fontId="10" fillId="7" borderId="1" xfId="0" applyFont="1" applyFill="1" applyBorder="1" applyAlignment="1" applyProtection="1">
      <alignment vertical="center"/>
      <protection locked="0"/>
    </xf>
    <xf numFmtId="0" fontId="0" fillId="7" borderId="1" xfId="0" applyFont="1" applyFill="1" applyBorder="1" applyAlignment="1" applyProtection="1">
      <alignment vertical="center"/>
      <protection locked="0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center" vertical="center" wrapText="1"/>
    </xf>
    <xf numFmtId="0" fontId="6" fillId="8" borderId="8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2" fontId="0" fillId="6" borderId="0" xfId="0" applyNumberFormat="1" applyFill="1" applyBorder="1" applyAlignment="1">
      <alignment horizontal="left" vertical="center" wrapText="1"/>
    </xf>
    <xf numFmtId="0" fontId="22" fillId="0" borderId="19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164" fontId="0" fillId="7" borderId="0" xfId="0" applyNumberFormat="1" applyFill="1" applyBorder="1" applyAlignment="1">
      <alignment horizontal="left" vertical="center" wrapText="1"/>
    </xf>
    <xf numFmtId="0" fontId="0" fillId="7" borderId="0" xfId="0" applyFill="1" applyBorder="1" applyAlignment="1">
      <alignment horizontal="left" vertical="center"/>
    </xf>
    <xf numFmtId="2" fontId="0" fillId="7" borderId="0" xfId="0" applyNumberFormat="1" applyFill="1" applyBorder="1" applyAlignment="1">
      <alignment horizontal="left" vertical="center" wrapText="1"/>
    </xf>
    <xf numFmtId="164" fontId="0" fillId="0" borderId="0" xfId="0" applyNumberFormat="1" applyBorder="1" applyAlignment="1">
      <alignment horizontal="right" vertical="center"/>
    </xf>
    <xf numFmtId="0" fontId="0" fillId="0" borderId="0" xfId="0" applyBorder="1" applyAlignment="1">
      <alignment horizontal="center" vertical="center"/>
    </xf>
    <xf numFmtId="1" fontId="0" fillId="7" borderId="0" xfId="0" applyNumberFormat="1" applyFill="1" applyBorder="1" applyAlignment="1">
      <alignment horizontal="center" vertical="center" wrapText="1"/>
    </xf>
    <xf numFmtId="2" fontId="0" fillId="0" borderId="0" xfId="0" applyNumberFormat="1" applyBorder="1" applyAlignment="1">
      <alignment horizontal="left" vertical="center" wrapText="1"/>
    </xf>
    <xf numFmtId="0" fontId="16" fillId="0" borderId="0" xfId="0" applyFont="1" applyFill="1" applyBorder="1" applyAlignment="1"/>
    <xf numFmtId="0" fontId="15" fillId="0" borderId="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4" fontId="1" fillId="7" borderId="15" xfId="0" applyNumberFormat="1" applyFont="1" applyFill="1" applyBorder="1" applyAlignment="1">
      <alignment horizontal="center" vertical="top"/>
    </xf>
    <xf numFmtId="164" fontId="0" fillId="0" borderId="11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164" fontId="1" fillId="10" borderId="15" xfId="0" applyNumberFormat="1" applyFont="1" applyFill="1" applyBorder="1" applyAlignment="1">
      <alignment horizontal="center" vertical="top"/>
    </xf>
    <xf numFmtId="0" fontId="0" fillId="0" borderId="11" xfId="0" applyBorder="1" applyAlignment="1">
      <alignment horizontal="left" vertical="center"/>
    </xf>
    <xf numFmtId="166" fontId="0" fillId="0" borderId="11" xfId="0" applyNumberFormat="1" applyBorder="1" applyAlignment="1">
      <alignment horizontal="left" vertical="center"/>
    </xf>
    <xf numFmtId="1" fontId="0" fillId="0" borderId="12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</cellXfs>
  <cellStyles count="3">
    <cellStyle name="Normal" xfId="0" builtinId="0"/>
    <cellStyle name="Normal_Master-PipeSpan-Stress-Defl 2" xfId="1" xr:uid="{00000000-0005-0000-0000-000001000000}"/>
    <cellStyle name="Percent" xfId="2" builtinId="5"/>
  </cellStyles>
  <dxfs count="15"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</dxfs>
  <tableStyles count="0" defaultTableStyle="TableStyleMedium2" defaultPivotStyle="PivotStyleLight16"/>
  <colors>
    <mruColors>
      <color rgb="FFFFFF99"/>
      <color rgb="FF132BDD"/>
      <color rgb="FF064DEA"/>
      <color rgb="FF99FF66"/>
      <color rgb="FF3115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61</xdr:row>
      <xdr:rowOff>47186</xdr:rowOff>
    </xdr:from>
    <xdr:to>
      <xdr:col>20</xdr:col>
      <xdr:colOff>186606</xdr:colOff>
      <xdr:row>71</xdr:row>
      <xdr:rowOff>13957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441917"/>
          <a:ext cx="4795392" cy="17009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67</xdr:row>
      <xdr:rowOff>58629</xdr:rowOff>
    </xdr:from>
    <xdr:to>
      <xdr:col>21</xdr:col>
      <xdr:colOff>108825</xdr:colOff>
      <xdr:row>77</xdr:row>
      <xdr:rowOff>77546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793429"/>
          <a:ext cx="4948839" cy="17531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67</xdr:row>
      <xdr:rowOff>56958</xdr:rowOff>
    </xdr:from>
    <xdr:to>
      <xdr:col>21</xdr:col>
      <xdr:colOff>93854</xdr:colOff>
      <xdr:row>77</xdr:row>
      <xdr:rowOff>76496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576296"/>
          <a:ext cx="4933868" cy="175374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69</xdr:row>
      <xdr:rowOff>12910</xdr:rowOff>
    </xdr:from>
    <xdr:to>
      <xdr:col>22</xdr:col>
      <xdr:colOff>150045</xdr:colOff>
      <xdr:row>79</xdr:row>
      <xdr:rowOff>136635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10013"/>
          <a:ext cx="5221286" cy="18579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zoomScaleNormal="100" workbookViewId="0">
      <selection activeCell="C5" sqref="C5"/>
    </sheetView>
  </sheetViews>
  <sheetFormatPr defaultRowHeight="12.75" x14ac:dyDescent="0.2"/>
  <cols>
    <col min="1" max="1" width="23" bestFit="1" customWidth="1"/>
    <col min="2" max="2" width="15.7109375" customWidth="1"/>
    <col min="3" max="3" width="12.7109375" customWidth="1"/>
    <col min="4" max="4" width="3.5703125" customWidth="1"/>
    <col min="5" max="5" width="8" customWidth="1"/>
    <col min="7" max="7" width="8.7109375" customWidth="1"/>
  </cols>
  <sheetData>
    <row r="1" spans="1:16" x14ac:dyDescent="0.2">
      <c r="A1" s="21" t="s">
        <v>16</v>
      </c>
      <c r="B1" s="21" t="s">
        <v>17</v>
      </c>
      <c r="C1" s="21" t="s">
        <v>16</v>
      </c>
      <c r="D1" s="24"/>
      <c r="E1" s="21" t="s">
        <v>17</v>
      </c>
      <c r="F1" s="21" t="s">
        <v>43</v>
      </c>
      <c r="G1" s="21" t="s">
        <v>44</v>
      </c>
    </row>
    <row r="2" spans="1:16" x14ac:dyDescent="0.2">
      <c r="A2" s="1" t="s">
        <v>18</v>
      </c>
      <c r="B2" s="1" t="s">
        <v>19</v>
      </c>
      <c r="C2" s="144">
        <v>200</v>
      </c>
      <c r="D2" s="25"/>
      <c r="E2" s="22"/>
      <c r="F2" s="22"/>
      <c r="G2" s="21"/>
    </row>
    <row r="3" spans="1:16" x14ac:dyDescent="0.2">
      <c r="A3" s="1" t="s">
        <v>20</v>
      </c>
      <c r="B3" s="1" t="s">
        <v>19</v>
      </c>
      <c r="C3" s="145">
        <v>1000</v>
      </c>
      <c r="D3" s="25"/>
      <c r="E3" s="22"/>
      <c r="F3" s="22"/>
      <c r="G3" s="21"/>
    </row>
    <row r="4" spans="1:16" x14ac:dyDescent="0.2">
      <c r="A4" s="1" t="s">
        <v>45</v>
      </c>
      <c r="B4" s="1" t="s">
        <v>4</v>
      </c>
      <c r="C4" s="145">
        <v>176000</v>
      </c>
      <c r="D4" s="25"/>
      <c r="E4" s="22" t="s">
        <v>37</v>
      </c>
      <c r="F4" s="22">
        <v>145.04</v>
      </c>
      <c r="G4" s="21">
        <f>F4*C4</f>
        <v>25527040</v>
      </c>
      <c r="M4" t="s">
        <v>75</v>
      </c>
    </row>
    <row r="5" spans="1:16" x14ac:dyDescent="0.2">
      <c r="A5" s="1" t="s">
        <v>1</v>
      </c>
      <c r="B5" s="1" t="s">
        <v>3</v>
      </c>
      <c r="C5" s="144">
        <v>6</v>
      </c>
      <c r="D5" s="25"/>
      <c r="E5" s="22" t="s">
        <v>38</v>
      </c>
      <c r="F5" s="22">
        <f>1/25.4</f>
        <v>3.937007874015748E-2</v>
      </c>
      <c r="G5" s="23">
        <f>F5*C5</f>
        <v>0.23622047244094488</v>
      </c>
      <c r="M5">
        <v>40</v>
      </c>
      <c r="N5">
        <f>137.4/40</f>
        <v>3.4350000000000001</v>
      </c>
      <c r="O5" s="49">
        <f>1/N5</f>
        <v>0.29112081513828236</v>
      </c>
      <c r="P5" t="s">
        <v>35</v>
      </c>
    </row>
    <row r="6" spans="1:16" x14ac:dyDescent="0.2">
      <c r="A6" s="1" t="s">
        <v>2</v>
      </c>
      <c r="B6" s="1" t="s">
        <v>4</v>
      </c>
      <c r="C6" s="144">
        <v>34</v>
      </c>
      <c r="D6" s="25"/>
      <c r="E6" s="22" t="s">
        <v>37</v>
      </c>
      <c r="F6" s="22">
        <v>145.04</v>
      </c>
      <c r="G6" s="23">
        <f>F6*C6</f>
        <v>4931.3599999999997</v>
      </c>
      <c r="H6" t="s">
        <v>76</v>
      </c>
      <c r="M6">
        <v>25</v>
      </c>
      <c r="N6">
        <f>137.4/25</f>
        <v>5.4960000000000004</v>
      </c>
      <c r="O6" s="49">
        <f>1/N6</f>
        <v>0.18195050946142649</v>
      </c>
      <c r="P6" t="s">
        <v>78</v>
      </c>
    </row>
    <row r="7" spans="1:16" x14ac:dyDescent="0.2">
      <c r="A7" s="1" t="s">
        <v>31</v>
      </c>
      <c r="B7" s="1" t="s">
        <v>3</v>
      </c>
      <c r="C7" s="145">
        <v>100</v>
      </c>
      <c r="D7" s="25"/>
      <c r="E7" s="22"/>
      <c r="F7" s="22"/>
      <c r="G7" s="21"/>
      <c r="M7">
        <v>30</v>
      </c>
      <c r="N7">
        <f>137.4/30</f>
        <v>4.58</v>
      </c>
      <c r="O7" s="49">
        <f>1/N7</f>
        <v>0.2183406113537118</v>
      </c>
      <c r="P7" t="s">
        <v>77</v>
      </c>
    </row>
    <row r="8" spans="1:16" x14ac:dyDescent="0.2">
      <c r="A8" s="1" t="s">
        <v>32</v>
      </c>
      <c r="B8" s="1" t="s">
        <v>3</v>
      </c>
      <c r="C8" s="145">
        <v>16.5</v>
      </c>
      <c r="D8" s="25"/>
      <c r="E8" s="22"/>
      <c r="F8" s="22"/>
      <c r="G8" s="21"/>
      <c r="H8" t="s">
        <v>24</v>
      </c>
    </row>
    <row r="9" spans="1:16" x14ac:dyDescent="0.2">
      <c r="A9" s="1" t="s">
        <v>29</v>
      </c>
      <c r="B9" s="1" t="s">
        <v>4</v>
      </c>
      <c r="C9" s="145">
        <v>67</v>
      </c>
      <c r="D9" s="25"/>
      <c r="E9" s="22"/>
      <c r="F9" s="22"/>
      <c r="G9" s="21"/>
    </row>
    <row r="12" spans="1:16" ht="25.5" x14ac:dyDescent="0.2">
      <c r="A12" s="30" t="s">
        <v>52</v>
      </c>
      <c r="B12" s="31" t="s">
        <v>53</v>
      </c>
      <c r="C12" s="31" t="s">
        <v>54</v>
      </c>
    </row>
    <row r="13" spans="1:16" x14ac:dyDescent="0.2">
      <c r="A13" s="30" t="s">
        <v>55</v>
      </c>
      <c r="B13">
        <f>384/5</f>
        <v>76.8</v>
      </c>
      <c r="C13">
        <v>8</v>
      </c>
    </row>
    <row r="14" spans="1:16" x14ac:dyDescent="0.2">
      <c r="A14" s="30" t="s">
        <v>56</v>
      </c>
      <c r="B14">
        <v>185</v>
      </c>
      <c r="C14">
        <v>8</v>
      </c>
    </row>
    <row r="15" spans="1:16" x14ac:dyDescent="0.2">
      <c r="A15" s="30" t="s">
        <v>57</v>
      </c>
      <c r="B15">
        <v>384</v>
      </c>
      <c r="C15">
        <v>12</v>
      </c>
    </row>
    <row r="16" spans="1:16" x14ac:dyDescent="0.2">
      <c r="A16" s="30" t="s">
        <v>58</v>
      </c>
      <c r="B16">
        <f>384/3</f>
        <v>128</v>
      </c>
      <c r="C16">
        <v>10</v>
      </c>
    </row>
  </sheetData>
  <sheetProtection algorithmName="SHA-512" hashValue="z/eUnucB+7u0x5yTvQAn97hrA4aRoHO3irmJlets62qiyz4rd2D5M29DkmYLLxoehcn/u61FKn2s44fz9l6E+Q==" saltValue="bFrziJomT1LjhaNo+EwX2g==" spinCount="100000" sheet="1" objects="1" scenario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49"/>
  <sheetViews>
    <sheetView zoomScale="55" zoomScaleNormal="55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3" sqref="F3"/>
    </sheetView>
  </sheetViews>
  <sheetFormatPr defaultRowHeight="12.75" x14ac:dyDescent="0.2"/>
  <cols>
    <col min="1" max="1" width="9.7109375" style="2" bestFit="1" customWidth="1"/>
    <col min="2" max="2" width="8.42578125" style="4" bestFit="1" customWidth="1"/>
    <col min="3" max="3" width="6.85546875" style="2" bestFit="1" customWidth="1"/>
    <col min="4" max="4" width="9" style="2" bestFit="1" customWidth="1"/>
    <col min="5" max="5" width="9" style="3" bestFit="1" customWidth="1"/>
    <col min="6" max="7" width="9.140625" style="3" bestFit="1" customWidth="1"/>
    <col min="8" max="8" width="9.42578125" style="3" bestFit="1" customWidth="1"/>
    <col min="9" max="9" width="13.85546875" style="3" bestFit="1" customWidth="1"/>
    <col min="10" max="10" width="12.7109375" style="143" bestFit="1" customWidth="1"/>
    <col min="11" max="11" width="11.7109375" style="14" customWidth="1"/>
    <col min="12" max="12" width="12.140625" style="2" customWidth="1"/>
    <col min="13" max="13" width="12.28515625" style="2" customWidth="1"/>
    <col min="14" max="14" width="14.7109375" style="2" bestFit="1" customWidth="1"/>
    <col min="15" max="15" width="11" style="2" bestFit="1" customWidth="1"/>
    <col min="16" max="16" width="12.42578125" style="2" customWidth="1"/>
    <col min="17" max="17" width="11" style="2" customWidth="1"/>
    <col min="18" max="18" width="12.5703125" style="2" customWidth="1"/>
    <col min="19" max="19" width="11.28515625" style="2" customWidth="1"/>
    <col min="20" max="20" width="12.28515625" style="2" customWidth="1"/>
    <col min="21" max="21" width="12.140625" style="2" customWidth="1"/>
    <col min="22" max="22" width="11.7109375" style="2" customWidth="1"/>
    <col min="23" max="23" width="11.28515625" style="2" customWidth="1"/>
    <col min="24" max="24" width="8.7109375" style="2" customWidth="1"/>
    <col min="25" max="25" width="10.42578125" style="2" customWidth="1"/>
    <col min="26" max="26" width="9.28515625" style="2" customWidth="1"/>
    <col min="27" max="27" width="8.28515625" style="2" customWidth="1"/>
    <col min="28" max="30" width="8.85546875" style="2"/>
  </cols>
  <sheetData>
    <row r="1" spans="1:30" s="20" customFormat="1" ht="33.6" customHeight="1" x14ac:dyDescent="0.2">
      <c r="A1" s="15" t="s">
        <v>11</v>
      </c>
      <c r="B1" s="15" t="s">
        <v>0</v>
      </c>
      <c r="C1" s="15" t="s">
        <v>12</v>
      </c>
      <c r="D1" s="15" t="s">
        <v>13</v>
      </c>
      <c r="E1" s="16" t="s">
        <v>15</v>
      </c>
      <c r="F1" s="17" t="s">
        <v>14</v>
      </c>
      <c r="G1" s="16" t="s">
        <v>21</v>
      </c>
      <c r="H1" s="16" t="s">
        <v>22</v>
      </c>
      <c r="I1" s="16" t="s">
        <v>30</v>
      </c>
      <c r="J1" s="16" t="s">
        <v>23</v>
      </c>
      <c r="K1" s="19" t="s">
        <v>28</v>
      </c>
      <c r="L1" s="146" t="s">
        <v>39</v>
      </c>
      <c r="M1" s="146"/>
      <c r="N1" s="147" t="s">
        <v>42</v>
      </c>
      <c r="O1" s="147"/>
      <c r="P1" s="151" t="s">
        <v>51</v>
      </c>
      <c r="Q1" s="151"/>
      <c r="R1" s="148" t="s">
        <v>36</v>
      </c>
      <c r="S1" s="148"/>
      <c r="T1" s="149" t="s">
        <v>47</v>
      </c>
      <c r="U1" s="149"/>
      <c r="V1" s="150" t="s">
        <v>46</v>
      </c>
      <c r="W1" s="150"/>
      <c r="X1" s="29" t="s">
        <v>50</v>
      </c>
      <c r="Y1" s="15" t="s">
        <v>33</v>
      </c>
      <c r="Z1" s="15" t="s">
        <v>35</v>
      </c>
      <c r="AA1" s="15" t="s">
        <v>35</v>
      </c>
      <c r="AB1" s="15" t="s">
        <v>59</v>
      </c>
      <c r="AC1" s="15" t="s">
        <v>61</v>
      </c>
      <c r="AD1" s="15" t="s">
        <v>61</v>
      </c>
    </row>
    <row r="2" spans="1:30" s="20" customFormat="1" ht="28.5" customHeight="1" x14ac:dyDescent="0.2">
      <c r="A2" s="15"/>
      <c r="B2" s="15"/>
      <c r="C2" s="15"/>
      <c r="D2" s="15" t="s">
        <v>3</v>
      </c>
      <c r="E2" s="16" t="s">
        <v>3</v>
      </c>
      <c r="F2" s="16" t="s">
        <v>25</v>
      </c>
      <c r="G2" s="16" t="s">
        <v>25</v>
      </c>
      <c r="H2" s="16" t="s">
        <v>25</v>
      </c>
      <c r="I2" s="16" t="s">
        <v>3</v>
      </c>
      <c r="J2" s="16" t="s">
        <v>26</v>
      </c>
      <c r="K2" s="19" t="s">
        <v>27</v>
      </c>
      <c r="L2" s="15" t="s">
        <v>41</v>
      </c>
      <c r="M2" s="15" t="s">
        <v>40</v>
      </c>
      <c r="N2" s="15" t="s">
        <v>41</v>
      </c>
      <c r="O2" s="15" t="s">
        <v>40</v>
      </c>
      <c r="P2" s="15" t="s">
        <v>41</v>
      </c>
      <c r="Q2" s="15" t="s">
        <v>40</v>
      </c>
      <c r="R2" s="15" t="s">
        <v>41</v>
      </c>
      <c r="S2" s="15" t="s">
        <v>40</v>
      </c>
      <c r="T2" s="15" t="s">
        <v>41</v>
      </c>
      <c r="U2" s="15" t="s">
        <v>40</v>
      </c>
      <c r="V2" s="15" t="s">
        <v>41</v>
      </c>
      <c r="W2" s="15" t="s">
        <v>40</v>
      </c>
      <c r="X2" s="15" t="s">
        <v>49</v>
      </c>
      <c r="Y2" s="15" t="s">
        <v>34</v>
      </c>
      <c r="Z2" s="15" t="s">
        <v>34</v>
      </c>
      <c r="AA2" s="15" t="s">
        <v>48</v>
      </c>
      <c r="AB2" s="15" t="s">
        <v>60</v>
      </c>
      <c r="AC2" s="15" t="s">
        <v>60</v>
      </c>
      <c r="AD2" s="15" t="s">
        <v>62</v>
      </c>
    </row>
    <row r="3" spans="1:30" x14ac:dyDescent="0.2">
      <c r="A3" s="5">
        <v>0.75</v>
      </c>
      <c r="B3" s="6">
        <v>26.67</v>
      </c>
      <c r="C3" s="5" t="s">
        <v>7</v>
      </c>
      <c r="D3" s="7">
        <v>2.87</v>
      </c>
      <c r="E3" s="8">
        <v>40</v>
      </c>
      <c r="F3" s="8">
        <f>((3.1428*(B3^2-(B3-2*D3)^2)/4)*7.85/1000)*9.81</f>
        <v>16.531576166422809</v>
      </c>
      <c r="G3" s="8">
        <f>(3.14*(B3+E3)*E3*Input!C$2/1000000)*9.81</f>
        <v>16.429301424000002</v>
      </c>
      <c r="H3" s="8">
        <f>((3.14*(B3-2*D3)^2)/4*Input!C$3/1000000)*9.81</f>
        <v>3.3734720851650004</v>
      </c>
      <c r="I3" s="8">
        <f>(Input!C$8/1067)*'Bare+Vapour'!B3</f>
        <v>0.41242268041237118</v>
      </c>
      <c r="J3" s="142">
        <f>((3.1428*(B3^4-(B3-(2*D3))^4)/64))/10000</f>
        <v>1.5420886888190499</v>
      </c>
      <c r="K3" s="11">
        <f>(Input!C$9*(Input!C$7+I3)*D3^2)/(0.644*F3*((B3/2)*D3)^0.5)</f>
        <v>841.37277212636184</v>
      </c>
      <c r="L3" s="11">
        <f>((384*Input!$C$4*$J3*Input!$C$5)/(5*$F3*100000))^(1/4)</f>
        <v>2.9492056474833501</v>
      </c>
      <c r="M3" s="11">
        <f>((160*Input!$C$6*$J3)/(B3*$F3))^0.5</f>
        <v>4.3619982462000042</v>
      </c>
      <c r="N3" s="11">
        <f>((384*Input!$C$4*$J3*Input!$C$5)/(($F3*100000)))^(1/4)</f>
        <v>4.4100910705349676</v>
      </c>
      <c r="O3" s="11">
        <f>((240*Input!$C$6*$J3)/($B3*$F3))^0.5</f>
        <v>5.3423349810525611</v>
      </c>
      <c r="P3" s="11">
        <f>((185*Input!$G$4*($J3/(2.54)^4)*(Input!$G$5))/($F3*0.00571))^(1/4)*25.4/1000</f>
        <v>3.6741947774186077</v>
      </c>
      <c r="Q3" s="11">
        <f>(((16*Input!$G$6*($J3/(2.54)^4))/(($B3/25.4)*($F3*0.00571)))^0.5)*25.4/1000</f>
        <v>4.3620884723497406</v>
      </c>
      <c r="R3" s="11">
        <f>((384*Input!$G$4*($J3/(2.54)^4)*(Input!$G$5))/($F3*0.00571))^(1/4)*25.4/1000</f>
        <v>4.4101366807641798</v>
      </c>
      <c r="S3" s="11">
        <f>(((24*Input!$G$6*($J3/(2.54)^4))/(($B3/25.4)*($F3*0.00571)))^0.5)*25.4/1000</f>
        <v>5.3424454850667153</v>
      </c>
      <c r="T3" s="11">
        <f>((Input!$G$4*($J3/(2.54)^4)*(Input!$G$5))/(17.1*$F3*0.06854))^(1/4)*0.3048</f>
        <v>3.1584533289644261</v>
      </c>
      <c r="U3" s="11">
        <f>(((20*Input!$G$6*($J3/(2.54)^4))/(($B3/25.4)*($F3*0.00571)))^0.5)*25.4/1000</f>
        <v>4.8769631740211148</v>
      </c>
      <c r="V3" s="11">
        <f>((384*Input!$C$4*$J3*Input!$C$5)/(3*$F3*100000))^(1/4)</f>
        <v>3.3509445723659033</v>
      </c>
      <c r="W3" s="11">
        <f>(((200*Input!$C$6*($J3))/($B3*($F3)))^0.5)</f>
        <v>4.8768622981190362</v>
      </c>
      <c r="X3" s="11">
        <f>MIN(L3:W3)</f>
        <v>2.9492056474833501</v>
      </c>
      <c r="Y3" s="26">
        <v>4.5</v>
      </c>
      <c r="Z3" s="27" t="s">
        <v>6</v>
      </c>
      <c r="AA3" s="27" t="s">
        <v>6</v>
      </c>
      <c r="AB3" s="26"/>
      <c r="AC3" s="32">
        <f>Y3/X3</f>
        <v>1.52583459340653</v>
      </c>
      <c r="AD3" s="32">
        <f>Y3/MIN(N3:O3)</f>
        <v>1.020387091338258</v>
      </c>
    </row>
    <row r="4" spans="1:30" x14ac:dyDescent="0.2">
      <c r="A4" s="5">
        <v>1</v>
      </c>
      <c r="B4" s="6">
        <v>33.4</v>
      </c>
      <c r="C4" s="5" t="s">
        <v>7</v>
      </c>
      <c r="D4" s="7">
        <v>3.38</v>
      </c>
      <c r="E4" s="8">
        <v>40</v>
      </c>
      <c r="F4" s="8">
        <f t="shared" ref="F4:F49" si="0">((3.1428*(B4^2-(B4-2*D4)^2)/4)*7.85/1000)*9.81</f>
        <v>24.55742332773287</v>
      </c>
      <c r="G4" s="8">
        <f>(3.14*(B4+E4)*E4*Input!C$2/1000000)*9.81</f>
        <v>18.087756480000003</v>
      </c>
      <c r="H4" s="8">
        <f>((3.14*(B4-2*D4)^2)/4*Input!C$3/1000000)*9.81</f>
        <v>5.4652131561600008</v>
      </c>
      <c r="I4" s="8">
        <f>(Input!C$8/1067)*'Bare+Vapour'!B4</f>
        <v>0.51649484536082479</v>
      </c>
      <c r="J4" s="142">
        <f t="shared" ref="J4:J49" si="1">((3.1428*(B4^4-(B4-(2*D4))^4)/64))/10000</f>
        <v>3.6378636048273156</v>
      </c>
      <c r="K4" s="11">
        <f>(Input!C$9*(Input!C$7+I4)*D4^2)/(0.644*F4*((B4/2)*D4)^0.5)</f>
        <v>647.53058905183536</v>
      </c>
      <c r="L4" s="11">
        <f>((384*Input!$C$4*$J4*Input!$C$5)/(5*$F4*100000))^(1/4)</f>
        <v>3.3107179871181125</v>
      </c>
      <c r="M4" s="11">
        <f>((160*Input!$C$6*$J4)/(B4*$F4))^0.5</f>
        <v>4.9119962211024601</v>
      </c>
      <c r="N4" s="11">
        <f>((384*Input!$C$4*$J4*Input!$C$5)/(($F4*100000)))^(1/4)</f>
        <v>4.9506781070042418</v>
      </c>
      <c r="O4" s="11">
        <f>((240*Input!$C$6*$J4)/($B4*$F4))^0.5</f>
        <v>6.0159421800901036</v>
      </c>
      <c r="P4" s="11">
        <f>((185*Input!$G$4*($J4/(2.54)^4)*(Input!$G$5))/($F4*0.00571))^(1/4)*25.4/1000</f>
        <v>4.1245759678221603</v>
      </c>
      <c r="Q4" s="11">
        <f>(((16*Input!$G$6*($J4/(2.54)^4))/(($B4/25.4)*($F4*0.00571)))^0.5)*25.4/1000</f>
        <v>4.9120978237353654</v>
      </c>
      <c r="R4" s="11">
        <f>((384*Input!$G$4*($J4/(2.54)^4)*(Input!$G$5))/($F4*0.00571))^(1/4)*25.4/1000</f>
        <v>4.950729308115422</v>
      </c>
      <c r="S4" s="11">
        <f>(((24*Input!$G$6*($J4/(2.54)^4))/(($B4/25.4)*($F4*0.00571)))^0.5)*25.4/1000</f>
        <v>6.0160666173936743</v>
      </c>
      <c r="T4" s="11">
        <f>((Input!$G$4*($J4/(2.54)^4)*(Input!$G$5))/(17.1*$F4*0.06854))^(1/4)*0.3048</f>
        <v>3.5456151579659005</v>
      </c>
      <c r="U4" s="11">
        <f>(((20*Input!$G$6*($J4/(2.54)^4))/(($B4/25.4)*($F4*0.00571)))^0.5)*25.4/1000</f>
        <v>5.4918923230005294</v>
      </c>
      <c r="V4" s="11">
        <f>((384*Input!$C$4*$J4*Input!$C$5)/(3*$F4*100000))^(1/4)</f>
        <v>3.7617018938758964</v>
      </c>
      <c r="W4" s="11">
        <f>(((200*Input!$C$6*($J4))/($B4*($F4)))^0.5)</f>
        <v>5.4917787278035934</v>
      </c>
      <c r="X4" s="11">
        <f t="shared" ref="X4:X49" si="2">MIN(L4:W4)</f>
        <v>3.3107179871181125</v>
      </c>
      <c r="Y4" s="26">
        <v>5</v>
      </c>
      <c r="Z4" s="26">
        <v>3.8</v>
      </c>
      <c r="AA4" s="26">
        <v>5.7</v>
      </c>
      <c r="AB4" s="32">
        <f>Z4/MIN(L4:W4)</f>
        <v>1.1477872820293562</v>
      </c>
      <c r="AC4" s="32">
        <f t="shared" ref="AC4:AC49" si="3">Y4/X4</f>
        <v>1.5102464237228372</v>
      </c>
      <c r="AD4" s="32">
        <f t="shared" ref="AD4:AD49" si="4">Y4/MIN(N4:O4)</f>
        <v>1.0099626539899609</v>
      </c>
    </row>
    <row r="5" spans="1:30" x14ac:dyDescent="0.2">
      <c r="A5" s="5">
        <v>1.5</v>
      </c>
      <c r="B5" s="6">
        <v>48.26</v>
      </c>
      <c r="C5" s="5" t="s">
        <v>7</v>
      </c>
      <c r="D5" s="7">
        <v>3.68</v>
      </c>
      <c r="E5" s="8">
        <v>50</v>
      </c>
      <c r="F5" s="8">
        <f t="shared" si="0"/>
        <v>39.70482547707072</v>
      </c>
      <c r="G5" s="8">
        <f>(3.14*(B5+E5)*E5*Input!C$2/1000000)*9.81</f>
        <v>30.267420839999996</v>
      </c>
      <c r="H5" s="8">
        <f>((3.14*(B5-2*D5)^2)/4*Input!C$3/1000000)*9.81</f>
        <v>12.882058888500001</v>
      </c>
      <c r="I5" s="8">
        <f>(Input!C$8/1067)*'Bare+Vapour'!B5</f>
        <v>0.74628865979381442</v>
      </c>
      <c r="J5" s="142">
        <f t="shared" si="1"/>
        <v>12.895675761083153</v>
      </c>
      <c r="K5" s="11">
        <f>(Input!C$9*(Input!C$7+I5)*D5^2)/(0.644*F5*((B5/2)*D5)^0.5)</f>
        <v>379.37417792746959</v>
      </c>
      <c r="L5" s="11">
        <f>((384*Input!$C$4*$J5*Input!$C$5)/(5*$F5*100000))^(1/4)</f>
        <v>4.028621702315732</v>
      </c>
      <c r="M5" s="11">
        <f>((160*Input!$C$6*$J5)/(B5*$F5))^0.5</f>
        <v>6.0507080413847207</v>
      </c>
      <c r="N5" s="11">
        <f>((384*Input!$C$4*$J5*Input!$C$5)/(($F5*100000)))^(1/4)</f>
        <v>6.0241945525591891</v>
      </c>
      <c r="O5" s="11">
        <f>((240*Input!$C$6*$J5)/($B5*$F5))^0.5</f>
        <v>7.4105736419737847</v>
      </c>
      <c r="P5" s="11">
        <f>((185*Input!$G$4*($J5/(2.54)^4)*(Input!$G$5))/($F5*0.00571))^(1/4)*25.4/1000</f>
        <v>5.0189585224328788</v>
      </c>
      <c r="Q5" s="11">
        <f>(((16*Input!$G$6*($J5/(2.54)^4))/(($B5/25.4)*($F5*0.00571)))^0.5)*25.4/1000</f>
        <v>6.0508331978059147</v>
      </c>
      <c r="R5" s="11">
        <f>((384*Input!$G$4*($J5/(2.54)^4)*(Input!$G$5))/($F5*0.00571))^(1/4)*25.4/1000</f>
        <v>6.0242568562372725</v>
      </c>
      <c r="S5" s="11">
        <f>(((24*Input!$G$6*($J5/(2.54)^4))/(($B5/25.4)*($F5*0.00571)))^0.5)*25.4/1000</f>
        <v>7.4107269266587616</v>
      </c>
      <c r="T5" s="11">
        <f>((Input!$G$4*($J5/(2.54)^4)*(Input!$G$5))/(17.1*$F5*0.06854))^(1/4)*0.3048</f>
        <v>4.3144545168206339</v>
      </c>
      <c r="U5" s="11">
        <f>(((20*Input!$G$6*($J5/(2.54)^4))/(($B5/25.4)*($F5*0.00571)))^0.5)*25.4/1000</f>
        <v>6.7650371754032284</v>
      </c>
      <c r="V5" s="11">
        <f>((384*Input!$C$4*$J5*Input!$C$5)/(3*$F5*100000))^(1/4)</f>
        <v>4.5773979983424011</v>
      </c>
      <c r="W5" s="11">
        <f>(((200*Input!$C$6*($J5))/($B5*($F5)))^0.5)</f>
        <v>6.764897246270424</v>
      </c>
      <c r="X5" s="11">
        <f t="shared" si="2"/>
        <v>4.028621702315732</v>
      </c>
      <c r="Y5" s="26">
        <v>6</v>
      </c>
      <c r="Z5" s="26">
        <v>4.6500000000000004</v>
      </c>
      <c r="AA5" s="26">
        <v>6.9</v>
      </c>
      <c r="AB5" s="32">
        <f>Z5/MIN(L5:W5)</f>
        <v>1.1542409150323267</v>
      </c>
      <c r="AC5" s="32">
        <f t="shared" si="3"/>
        <v>1.489343116170744</v>
      </c>
      <c r="AD5" s="32">
        <f t="shared" si="4"/>
        <v>0.99598376972255809</v>
      </c>
    </row>
    <row r="6" spans="1:30" x14ac:dyDescent="0.2">
      <c r="A6" s="5">
        <v>2</v>
      </c>
      <c r="B6" s="6">
        <v>60.32</v>
      </c>
      <c r="C6" s="5" t="s">
        <v>7</v>
      </c>
      <c r="D6" s="7">
        <v>3.91</v>
      </c>
      <c r="E6" s="8">
        <v>50</v>
      </c>
      <c r="F6" s="8">
        <f t="shared" si="0"/>
        <v>53.381191800900758</v>
      </c>
      <c r="G6" s="8">
        <f>(3.14*(B6+E6)*E6*Input!C$2/1000000)*9.81</f>
        <v>33.98231088</v>
      </c>
      <c r="H6" s="8">
        <f>((3.14*(B6-2*D6)^2)/4*Input!C$3/1000000)*9.81</f>
        <v>21.2254678125</v>
      </c>
      <c r="I6" s="8">
        <f>(Input!C$8/1067)*'Bare+Vapour'!B6</f>
        <v>0.93278350515463926</v>
      </c>
      <c r="J6" s="142">
        <f t="shared" si="1"/>
        <v>27.70469366885397</v>
      </c>
      <c r="K6" s="11">
        <f>(Input!C$9*(Input!C$7+I6)*D6^2)/(0.644*F6*((B6/2)*D6)^0.5)</f>
        <v>276.93789538900768</v>
      </c>
      <c r="L6" s="11">
        <f>((384*Input!$C$4*$J6*Input!$C$5)/(5*$F6*100000))^(1/4)</f>
        <v>4.5294717595984153</v>
      </c>
      <c r="M6" s="11">
        <f>((160*Input!$C$6*$J6)/(B6*$F6))^0.5</f>
        <v>6.8414999294797605</v>
      </c>
      <c r="N6" s="11">
        <f>((384*Input!$C$4*$J6*Input!$C$5)/(($F6*100000)))^(1/4)</f>
        <v>6.773140075291427</v>
      </c>
      <c r="O6" s="11">
        <f>((240*Input!$C$6*$J6)/($B6*$F6))^0.5</f>
        <v>8.3790919512562549</v>
      </c>
      <c r="P6" s="11">
        <f>((185*Input!$G$4*($J6/(2.54)^4)*(Input!$G$5))/($F6*0.00571))^(1/4)*25.4/1000</f>
        <v>5.6429301557125546</v>
      </c>
      <c r="Q6" s="11">
        <f>(((16*Input!$G$6*($J6/(2.54)^4))/(($B6/25.4)*($F6*0.00571)))^0.5)*25.4/1000</f>
        <v>6.8416414431077364</v>
      </c>
      <c r="R6" s="11">
        <f>((384*Input!$G$4*($J6/(2.54)^4)*(Input!$G$5))/($F6*0.00571))^(1/4)*25.4/1000</f>
        <v>6.7732101247453711</v>
      </c>
      <c r="S6" s="11">
        <f>(((24*Input!$G$6*($J6/(2.54)^4))/(($B6/25.4)*($F6*0.00571)))^0.5)*25.4/1000</f>
        <v>8.3792652693463516</v>
      </c>
      <c r="T6" s="11">
        <f>((Input!$G$4*($J6/(2.54)^4)*(Input!$G$5))/(17.1*$F6*0.06854))^(1/4)*0.3048</f>
        <v>4.8508401473331775</v>
      </c>
      <c r="U6" s="11">
        <f>(((20*Input!$G$6*($J6/(2.54)^4))/(($B6/25.4)*($F6*0.00571)))^0.5)*25.4/1000</f>
        <v>7.6491876722343308</v>
      </c>
      <c r="V6" s="11">
        <f>((384*Input!$C$4*$J6*Input!$C$5)/(3*$F6*100000))^(1/4)</f>
        <v>5.1464735331233404</v>
      </c>
      <c r="W6" s="11">
        <f>(((200*Input!$C$6*($J6))/($B6*($F6)))^0.5)</f>
        <v>7.64902945518838</v>
      </c>
      <c r="X6" s="11">
        <f t="shared" si="2"/>
        <v>4.5294717595984153</v>
      </c>
      <c r="Y6" s="26">
        <v>6.5</v>
      </c>
      <c r="Z6" s="26">
        <v>5.25</v>
      </c>
      <c r="AA6" s="26">
        <v>7.9</v>
      </c>
      <c r="AB6" s="32">
        <f>Z6/MIN(L6:W6)</f>
        <v>1.1590755564100188</v>
      </c>
      <c r="AC6" s="32">
        <f t="shared" si="3"/>
        <v>1.4350459269838327</v>
      </c>
      <c r="AD6" s="32">
        <f t="shared" si="4"/>
        <v>0.95967305086634069</v>
      </c>
    </row>
    <row r="7" spans="1:30" x14ac:dyDescent="0.2">
      <c r="A7" s="5">
        <v>2.5</v>
      </c>
      <c r="B7" s="6">
        <v>73.02</v>
      </c>
      <c r="C7" s="5" t="s">
        <v>7</v>
      </c>
      <c r="D7" s="7">
        <v>5.16</v>
      </c>
      <c r="E7" s="8">
        <v>50</v>
      </c>
      <c r="F7" s="8">
        <f t="shared" si="0"/>
        <v>84.745952546654834</v>
      </c>
      <c r="G7" s="8">
        <f>(3.14*(B7+E7)*E7*Input!C$2/1000000)*9.81</f>
        <v>37.894342680000001</v>
      </c>
      <c r="H7" s="8">
        <f>((3.14*(B7-2*D7)^2)/4*Input!C$3/1000000)*9.81</f>
        <v>30.2742745965</v>
      </c>
      <c r="I7" s="8">
        <f>(Input!C$8/1067)*'Bare+Vapour'!B7</f>
        <v>1.1291752577319587</v>
      </c>
      <c r="J7" s="142">
        <f t="shared" si="1"/>
        <v>63.712089330080417</v>
      </c>
      <c r="K7" s="11">
        <f>(Input!C$9*(Input!C$7+I7)*D7^2)/(0.644*F7*((B7/2)*D7)^0.5)</f>
        <v>240.83248738626415</v>
      </c>
      <c r="L7" s="11">
        <f>((384*Input!$C$4*$J7*Input!$C$5)/(5*$F7*100000))^(1/4)</f>
        <v>4.9691488366551742</v>
      </c>
      <c r="M7" s="11">
        <f>((160*Input!$C$6*$J7)/(B7*$F7))^0.5</f>
        <v>7.4839344749218881</v>
      </c>
      <c r="N7" s="11">
        <f>((384*Input!$C$4*$J7*Input!$C$5)/(($F7*100000)))^(1/4)</f>
        <v>7.4306106565991596</v>
      </c>
      <c r="O7" s="11">
        <f>((240*Input!$C$6*$J7)/($B7*$F7))^0.5</f>
        <v>9.1659103659912873</v>
      </c>
      <c r="P7" s="11">
        <f>((185*Input!$G$4*($J7/(2.54)^4)*(Input!$G$5))/($F7*0.00571))^(1/4)*25.4/1000</f>
        <v>6.1906909473857832</v>
      </c>
      <c r="Q7" s="11">
        <f>(((16*Input!$G$6*($J7/(2.54)^4))/(($B7/25.4)*($F7*0.00571)))^0.5)*25.4/1000</f>
        <v>7.484089277045693</v>
      </c>
      <c r="R7" s="11">
        <f>((384*Input!$G$4*($J7/(2.54)^4)*(Input!$G$5))/($F7*0.00571))^(1/4)*25.4/1000</f>
        <v>7.4306875057729815</v>
      </c>
      <c r="S7" s="11">
        <f>(((24*Input!$G$6*($J7/(2.54)^4))/(($B7/25.4)*($F7*0.00571)))^0.5)*25.4/1000</f>
        <v>9.1660999590984975</v>
      </c>
      <c r="T7" s="11">
        <f>((Input!$G$4*($J7/(2.54)^4)*(Input!$G$5))/(17.1*$F7*0.06854))^(1/4)*0.3048</f>
        <v>5.3217125427133665</v>
      </c>
      <c r="U7" s="11">
        <f>(((20*Input!$G$6*($J7/(2.54)^4))/(($B7/25.4)*($F7*0.00571)))^0.5)*25.4/1000</f>
        <v>8.3674661865757134</v>
      </c>
      <c r="V7" s="11">
        <f>((384*Input!$C$4*$J7*Input!$C$5)/(3*$F7*100000))^(1/4)</f>
        <v>5.646043143067053</v>
      </c>
      <c r="W7" s="11">
        <f>(((200*Input!$C$6*($J7))/($B7*($F7)))^0.5)</f>
        <v>8.3672931125397696</v>
      </c>
      <c r="X7" s="11">
        <f t="shared" si="2"/>
        <v>4.9691488366551742</v>
      </c>
      <c r="Y7" s="26">
        <v>7.5</v>
      </c>
      <c r="Z7" s="26" t="s">
        <v>6</v>
      </c>
      <c r="AA7" s="26" t="s">
        <v>6</v>
      </c>
      <c r="AB7" s="33" t="s">
        <v>6</v>
      </c>
      <c r="AC7" s="32">
        <f t="shared" si="3"/>
        <v>1.5093128112154492</v>
      </c>
      <c r="AD7" s="32">
        <f t="shared" si="4"/>
        <v>1.0093383096770405</v>
      </c>
    </row>
    <row r="8" spans="1:30" x14ac:dyDescent="0.2">
      <c r="A8" s="9">
        <v>3</v>
      </c>
      <c r="B8" s="6">
        <v>88.9</v>
      </c>
      <c r="C8" s="5" t="s">
        <v>7</v>
      </c>
      <c r="D8" s="7">
        <v>5.49</v>
      </c>
      <c r="E8" s="8">
        <v>100</v>
      </c>
      <c r="F8" s="8">
        <f t="shared" si="0"/>
        <v>110.82707575537844</v>
      </c>
      <c r="G8" s="8">
        <f>(3.14*(B8+E8)*E8*Input!C$2/1000000)*9.81</f>
        <v>116.37524520000004</v>
      </c>
      <c r="H8" s="8">
        <f>((3.14*(B8-2*D8)^2)/4*Input!C$3/1000000)*9.81</f>
        <v>46.755914077440003</v>
      </c>
      <c r="I8" s="8">
        <f>(Input!C$8/1067)*'Bare+Vapour'!B8</f>
        <v>1.3747422680412373</v>
      </c>
      <c r="J8" s="142">
        <f t="shared" si="1"/>
        <v>125.6987191076508</v>
      </c>
      <c r="K8" s="11">
        <f>(Input!C$9*(Input!C$7+I8)*D8^2)/(0.644*F8*((B8/2)*D8)^0.5)</f>
        <v>183.60963116885327</v>
      </c>
      <c r="L8" s="11">
        <f>((384*Input!$C$4*$J8*Input!$C$5)/(5*$F8*100000))^(1/4)</f>
        <v>5.507157904882769</v>
      </c>
      <c r="M8" s="11">
        <f>((160*Input!$C$6*$J8)/(B8*$F8))^0.5</f>
        <v>8.3308834431712686</v>
      </c>
      <c r="N8" s="11">
        <f>((384*Input!$C$4*$J8*Input!$C$5)/(($F8*100000)))^(1/4)</f>
        <v>8.2351218610592589</v>
      </c>
      <c r="O8" s="11">
        <f>((240*Input!$C$6*$J8)/($B8*$F8))^0.5</f>
        <v>10.203206771185114</v>
      </c>
      <c r="P8" s="11">
        <f>((185*Input!$G$4*($J8/(2.54)^4)*(Input!$G$5))/($F8*0.00571))^(1/4)*25.4/1000</f>
        <v>6.8609562136863858</v>
      </c>
      <c r="Q8" s="11">
        <f>(((16*Input!$G$6*($J8/(2.54)^4))/(($B8/25.4)*($F8*0.00571)))^0.5)*25.4/1000</f>
        <v>8.3310557640880933</v>
      </c>
      <c r="R8" s="11">
        <f>((384*Input!$G$4*($J8/(2.54)^4)*(Input!$G$5))/($F8*0.00571))^(1/4)*25.4/1000</f>
        <v>8.2352070306826644</v>
      </c>
      <c r="S8" s="11">
        <f>(((24*Input!$G$6*($J8/(2.54)^4))/(($B8/25.4)*($F8*0.00571)))^0.5)*25.4/1000</f>
        <v>10.203417820344228</v>
      </c>
      <c r="T8" s="11">
        <f>((Input!$G$4*($J8/(2.54)^4)*(Input!$G$5))/(17.1*$F8*0.06854))^(1/4)*0.3048</f>
        <v>5.8978936354108322</v>
      </c>
      <c r="U8" s="11">
        <f>(((20*Input!$G$6*($J8/(2.54)^4))/(($B8/25.4)*($F8*0.00571)))^0.5)*25.4/1000</f>
        <v>9.314403506421213</v>
      </c>
      <c r="V8" s="11">
        <f>((384*Input!$C$4*$J8*Input!$C$5)/(3*$F8*100000))^(1/4)</f>
        <v>6.2573394657223806</v>
      </c>
      <c r="W8" s="11">
        <f>(((200*Input!$C$6*($J8))/($B8*($F8)))^0.5)</f>
        <v>9.3142108457792308</v>
      </c>
      <c r="X8" s="11">
        <f t="shared" si="2"/>
        <v>5.507157904882769</v>
      </c>
      <c r="Y8" s="26">
        <v>8</v>
      </c>
      <c r="Z8" s="26">
        <v>6.4</v>
      </c>
      <c r="AA8" s="26">
        <v>9.5</v>
      </c>
      <c r="AB8" s="32">
        <f t="shared" ref="AB8:AB18" si="5">Z8/MIN(L8:W8)</f>
        <v>1.1621239322601622</v>
      </c>
      <c r="AC8" s="32">
        <f t="shared" si="3"/>
        <v>1.4526549153252029</v>
      </c>
      <c r="AD8" s="32">
        <f t="shared" si="4"/>
        <v>0.9714488911000746</v>
      </c>
    </row>
    <row r="9" spans="1:30" x14ac:dyDescent="0.2">
      <c r="A9" s="9">
        <v>4</v>
      </c>
      <c r="B9" s="6">
        <v>114.3</v>
      </c>
      <c r="C9" s="5" t="s">
        <v>7</v>
      </c>
      <c r="D9" s="7">
        <v>6.02</v>
      </c>
      <c r="E9" s="8">
        <v>100</v>
      </c>
      <c r="F9" s="8">
        <f t="shared" si="0"/>
        <v>157.76118035234941</v>
      </c>
      <c r="G9" s="8">
        <f>(3.14*(B9+E9)*E9*Input!C$2/1000000)*9.81</f>
        <v>132.02337240000003</v>
      </c>
      <c r="H9" s="8">
        <f>((3.14*(B9-2*D9)^2)/4*Input!C$3/1000000)*9.81</f>
        <v>80.528617061459997</v>
      </c>
      <c r="I9" s="8">
        <f>(Input!C$8/1067)*'Bare+Vapour'!B9</f>
        <v>1.7675257731958762</v>
      </c>
      <c r="J9" s="142">
        <f t="shared" si="1"/>
        <v>301.16764717117178</v>
      </c>
      <c r="K9" s="11">
        <f>(Input!C$9*(Input!C$7+I9)*D9^2)/(0.644*F9*((B9/2)*D9)^0.5)</f>
        <v>131.12473507516995</v>
      </c>
      <c r="L9" s="11">
        <f>((384*Input!$C$4*$J9*Input!$C$5)/(5*$F9*100000))^(1/4)</f>
        <v>6.2727550225603554</v>
      </c>
      <c r="M9" s="11">
        <f>((160*Input!$C$6*$J9)/(B9*$F9))^0.5</f>
        <v>9.5319206695291925</v>
      </c>
      <c r="N9" s="11">
        <f>((384*Input!$C$4*$J9*Input!$C$5)/(($F9*100000)))^(1/4)</f>
        <v>9.3799565778849168</v>
      </c>
      <c r="O9" s="11">
        <f>((240*Input!$C$6*$J9)/($B9*$F9))^0.5</f>
        <v>11.67417095451736</v>
      </c>
      <c r="P9" s="11">
        <f>((185*Input!$G$4*($J9/(2.54)^4)*(Input!$G$5))/($F9*0.00571))^(1/4)*25.4/1000</f>
        <v>7.814756411979821</v>
      </c>
      <c r="Q9" s="11">
        <f>(((16*Input!$G$6*($J9/(2.54)^4))/(($B9/25.4)*($F9*0.00571)))^0.5)*25.4/1000</f>
        <v>9.5321178334098402</v>
      </c>
      <c r="R9" s="11">
        <f>((384*Input!$G$4*($J9/(2.54)^4)*(Input!$G$5))/($F9*0.00571))^(1/4)*25.4/1000</f>
        <v>9.3800535876660494</v>
      </c>
      <c r="S9" s="11">
        <f>(((24*Input!$G$6*($J9/(2.54)^4))/(($B9/25.4)*($F9*0.00571)))^0.5)*25.4/1000</f>
        <v>11.674412429969006</v>
      </c>
      <c r="T9" s="11">
        <f>((Input!$G$4*($J9/(2.54)^4)*(Input!$G$5))/(17.1*$F9*0.06854))^(1/4)*0.3048</f>
        <v>6.7178102685685754</v>
      </c>
      <c r="U9" s="11">
        <f>(((20*Input!$G$6*($J9/(2.54)^4))/(($B9/25.4)*($F9*0.00571)))^0.5)*25.4/1000</f>
        <v>10.657231722521209</v>
      </c>
      <c r="V9" s="11">
        <f>((384*Input!$C$4*$J9*Input!$C$5)/(3*$F9*100000))^(1/4)</f>
        <v>7.1272257377393506</v>
      </c>
      <c r="W9" s="11">
        <f>(((200*Input!$C$6*($J9))/($B9*($F9)))^0.5)</f>
        <v>10.657011286601291</v>
      </c>
      <c r="X9" s="11">
        <f t="shared" si="2"/>
        <v>6.2727550225603554</v>
      </c>
      <c r="Y9" s="26">
        <v>9</v>
      </c>
      <c r="Z9" s="26">
        <v>7.3</v>
      </c>
      <c r="AA9" s="26"/>
      <c r="AB9" s="32">
        <f t="shared" si="5"/>
        <v>1.1637629675868248</v>
      </c>
      <c r="AC9" s="32">
        <f t="shared" si="3"/>
        <v>1.4347762614084143</v>
      </c>
      <c r="AD9" s="32">
        <f t="shared" si="4"/>
        <v>0.95949271462719365</v>
      </c>
    </row>
    <row r="10" spans="1:30" x14ac:dyDescent="0.2">
      <c r="A10" s="9">
        <v>6</v>
      </c>
      <c r="B10" s="6">
        <v>168.27</v>
      </c>
      <c r="C10" s="5" t="s">
        <v>7</v>
      </c>
      <c r="D10" s="7">
        <v>7.11</v>
      </c>
      <c r="E10" s="8">
        <v>100</v>
      </c>
      <c r="F10" s="8">
        <f t="shared" si="0"/>
        <v>277.32068741417692</v>
      </c>
      <c r="G10" s="8">
        <f>(3.14*(B10+E10)*E10*Input!C$2/1000000)*9.81</f>
        <v>165.27256236000002</v>
      </c>
      <c r="H10" s="8">
        <f>((3.14*(B10-2*D10)^2)/4*Input!C$3/1000000)*9.81</f>
        <v>182.75197094212504</v>
      </c>
      <c r="I10" s="8">
        <f>(Input!C$8/1067)*'Bare+Vapour'!B10</f>
        <v>2.6021134020618559</v>
      </c>
      <c r="J10" s="142">
        <f t="shared" si="1"/>
        <v>1171.4199313728818</v>
      </c>
      <c r="K10" s="11">
        <f>(Input!C$9*(Input!C$7+I10)*D10^2)/(0.644*F10*((B10/2)*D10)^0.5)</f>
        <v>79.557114914678138</v>
      </c>
      <c r="L10" s="11">
        <f>((384*Input!$C$4*$J10*Input!$C$5)/(5*$F10*100000))^(1/4)</f>
        <v>7.6504832710105308</v>
      </c>
      <c r="M10" s="11">
        <f>((160*Input!$C$6*$J10)/(B10*$F10))^0.5</f>
        <v>11.685875983347666</v>
      </c>
      <c r="N10" s="11">
        <f>((384*Input!$C$4*$J10*Input!$C$5)/(($F10*100000)))^(1/4)</f>
        <v>11.440140835058932</v>
      </c>
      <c r="O10" s="11">
        <f>((240*Input!$C$6*$J10)/($B10*$F10))^0.5</f>
        <v>14.312216678323196</v>
      </c>
      <c r="P10" s="11">
        <f>((185*Input!$G$4*($J10/(2.54)^4)*(Input!$G$5))/($F10*0.00571))^(1/4)*25.4/1000</f>
        <v>9.5311650115216384</v>
      </c>
      <c r="Q10" s="11">
        <f>(((16*Input!$G$6*($J10/(2.54)^4))/(($B10/25.4)*($F10*0.00571)))^0.5)*25.4/1000</f>
        <v>11.686117700913044</v>
      </c>
      <c r="R10" s="11">
        <f>((384*Input!$G$4*($J10/(2.54)^4)*(Input!$G$5))/($F10*0.00571))^(1/4)*25.4/1000</f>
        <v>11.44025915176427</v>
      </c>
      <c r="S10" s="11">
        <f>(((24*Input!$G$6*($J10/(2.54)^4))/(($B10/25.4)*($F10*0.00571)))^0.5)*25.4/1000</f>
        <v>14.31251272067172</v>
      </c>
      <c r="T10" s="11">
        <f>((Input!$G$4*($J10/(2.54)^4)*(Input!$G$5))/(17.1*$F10*0.06854))^(1/4)*0.3048</f>
        <v>8.1932890560309026</v>
      </c>
      <c r="U10" s="11">
        <f>(((20*Input!$G$6*($J10/(2.54)^4))/(($B10/25.4)*($F10*0.00571)))^0.5)*25.4/1000</f>
        <v>13.065476786152562</v>
      </c>
      <c r="V10" s="11">
        <f>((384*Input!$C$4*$J10*Input!$C$5)/(3*$F10*100000))^(1/4)</f>
        <v>8.6926272553577881</v>
      </c>
      <c r="W10" s="11">
        <f>(((200*Input!$C$6*($J10))/($B10*($F10)))^0.5)</f>
        <v>13.06520653769879</v>
      </c>
      <c r="X10" s="11">
        <f t="shared" si="2"/>
        <v>7.6504832710105308</v>
      </c>
      <c r="Y10" s="26">
        <v>10.5</v>
      </c>
      <c r="Z10" s="26">
        <v>8.9</v>
      </c>
      <c r="AA10" s="26"/>
      <c r="AB10" s="32">
        <f t="shared" si="5"/>
        <v>1.1633252024384106</v>
      </c>
      <c r="AC10" s="32">
        <f t="shared" si="3"/>
        <v>1.3724623174835182</v>
      </c>
      <c r="AD10" s="32">
        <f t="shared" si="4"/>
        <v>0.91782086876257507</v>
      </c>
    </row>
    <row r="11" spans="1:30" x14ac:dyDescent="0.2">
      <c r="A11" s="9">
        <v>8</v>
      </c>
      <c r="B11" s="6">
        <v>219.07</v>
      </c>
      <c r="C11" s="5" t="s">
        <v>7</v>
      </c>
      <c r="D11" s="7">
        <v>8.18</v>
      </c>
      <c r="E11" s="8">
        <v>120</v>
      </c>
      <c r="F11" s="8">
        <f t="shared" si="0"/>
        <v>417.5079014945668</v>
      </c>
      <c r="G11" s="8">
        <f>(3.14*(B11+E11)*E11*Input!C$2/1000000)*9.81</f>
        <v>250.66821211200005</v>
      </c>
      <c r="H11" s="8">
        <f>((3.14*(B11-2*D11)^2)/4*Input!C$3/1000000)*9.81</f>
        <v>316.43827721248505</v>
      </c>
      <c r="I11" s="8">
        <f>(Input!C$8/1067)*'Bare+Vapour'!B11</f>
        <v>3.3876804123711342</v>
      </c>
      <c r="J11" s="142">
        <f t="shared" si="1"/>
        <v>3018.5677673902569</v>
      </c>
      <c r="K11" s="11">
        <f>(Input!C$9*(Input!C$7+I11)*D11^2)/(0.644*F11*((B11/2)*D11)^0.5)</f>
        <v>57.589926884304248</v>
      </c>
      <c r="L11" s="11">
        <f>((384*Input!$C$4*$J11*Input!$C$5)/(5*$F11*100000))^(1/4)</f>
        <v>8.7506505774424017</v>
      </c>
      <c r="M11" s="11">
        <f>((160*Input!$C$6*$J11)/(B11*$F11))^0.5</f>
        <v>13.399114901011023</v>
      </c>
      <c r="N11" s="11">
        <f>((384*Input!$C$4*$J11*Input!$C$5)/(($F11*100000)))^(1/4)</f>
        <v>13.085274675871263</v>
      </c>
      <c r="O11" s="11">
        <f>((240*Input!$C$6*$J11)/($B11*$F11))^0.5</f>
        <v>16.410497256199868</v>
      </c>
      <c r="P11" s="11">
        <f>((185*Input!$G$4*($J11/(2.54)^4)*(Input!$G$5))/($F11*0.00571))^(1/4)*25.4/1000</f>
        <v>10.901781189144938</v>
      </c>
      <c r="Q11" s="11">
        <f>(((16*Input!$G$6*($J11/(2.54)^4))/(($B11/25.4)*($F11*0.00571)))^0.5)*25.4/1000</f>
        <v>13.399392056222727</v>
      </c>
      <c r="R11" s="11">
        <f>((384*Input!$G$4*($J11/(2.54)^4)*(Input!$G$5))/($F11*0.00571))^(1/4)*25.4/1000</f>
        <v>13.085410006948951</v>
      </c>
      <c r="S11" s="11">
        <f>(((24*Input!$G$6*($J11/(2.54)^4))/(($B11/25.4)*($F11*0.00571)))^0.5)*25.4/1000</f>
        <v>16.410836700623982</v>
      </c>
      <c r="T11" s="11">
        <f>((Input!$G$4*($J11/(2.54)^4)*(Input!$G$5))/(17.1*$F11*0.06854))^(1/4)*0.3048</f>
        <v>9.3715138076289293</v>
      </c>
      <c r="U11" s="11">
        <f>(((20*Input!$G$6*($J11/(2.54)^4))/(($B11/25.4)*($F11*0.00571)))^0.5)*25.4/1000</f>
        <v>14.980975747442351</v>
      </c>
      <c r="V11" s="11">
        <f>((384*Input!$C$4*$J11*Input!$C$5)/(3*$F11*100000))^(1/4)</f>
        <v>9.9426586552800629</v>
      </c>
      <c r="W11" s="11">
        <f>(((200*Input!$C$6*($J11))/($B11*($F11)))^0.5)</f>
        <v>14.980665878495508</v>
      </c>
      <c r="X11" s="11">
        <f t="shared" si="2"/>
        <v>8.7506505774424017</v>
      </c>
      <c r="Y11" s="26">
        <v>12</v>
      </c>
      <c r="Z11" s="26">
        <v>10.25</v>
      </c>
      <c r="AA11" s="26"/>
      <c r="AB11" s="32">
        <f t="shared" si="5"/>
        <v>1.1713414801892159</v>
      </c>
      <c r="AC11" s="32">
        <f t="shared" si="3"/>
        <v>1.3713266109532285</v>
      </c>
      <c r="AD11" s="32">
        <f t="shared" si="4"/>
        <v>0.91706137603114535</v>
      </c>
    </row>
    <row r="12" spans="1:30" x14ac:dyDescent="0.2">
      <c r="A12" s="9">
        <v>10</v>
      </c>
      <c r="B12" s="6">
        <v>273.05</v>
      </c>
      <c r="C12" s="5" t="s">
        <v>7</v>
      </c>
      <c r="D12" s="7">
        <v>9.27</v>
      </c>
      <c r="E12" s="8">
        <v>120</v>
      </c>
      <c r="F12" s="8">
        <f t="shared" si="0"/>
        <v>591.80278780970002</v>
      </c>
      <c r="G12" s="8">
        <f>(3.14*(B12+E12)*E12*Input!C$2/1000000)*9.81</f>
        <v>290.57463288000002</v>
      </c>
      <c r="H12" s="8">
        <f>((3.14*(B12-2*D12)^2)/4*Input!C$3/1000000)*9.81</f>
        <v>498.82517780908506</v>
      </c>
      <c r="I12" s="8">
        <f>(Input!C$8/1067)*'Bare+Vapour'!B12</f>
        <v>4.2224226804123717</v>
      </c>
      <c r="J12" s="142">
        <f t="shared" si="1"/>
        <v>6692.1877553114891</v>
      </c>
      <c r="K12" s="11">
        <f>(Input!C$9*(Input!C$7+I12)*D12^2)/(0.644*F12*((B12/2)*D12)^0.5)</f>
        <v>44.257471823714518</v>
      </c>
      <c r="L12" s="11">
        <f>((384*Input!$C$4*$J12*Input!$C$5)/(5*$F12*100000))^(1/4)</f>
        <v>9.7859741030342047</v>
      </c>
      <c r="M12" s="11">
        <f>((160*Input!$C$6*$J12)/(B12*$F12))^0.5</f>
        <v>15.00976575329922</v>
      </c>
      <c r="N12" s="11">
        <f>((384*Input!$C$4*$J12*Input!$C$5)/(($F12*100000)))^(1/4)</f>
        <v>14.633444448034622</v>
      </c>
      <c r="O12" s="11">
        <f>((240*Input!$C$6*$J12)/($B12*$F12))^0.5</f>
        <v>18.383133627142335</v>
      </c>
      <c r="P12" s="11">
        <f>((185*Input!$G$4*($J12/(2.54)^4)*(Input!$G$5))/($F12*0.00571))^(1/4)*25.4/1000</f>
        <v>12.191613349175581</v>
      </c>
      <c r="Q12" s="11">
        <f>(((16*Input!$G$6*($J12/(2.54)^4))/(($B12/25.4)*($F12*0.00571)))^0.5)*25.4/1000</f>
        <v>15.010076224165076</v>
      </c>
      <c r="R12" s="11">
        <f>((384*Input!$G$4*($J12/(2.54)^4)*(Input!$G$5))/($F12*0.00571))^(1/4)*25.4/1000</f>
        <v>14.633595790658791</v>
      </c>
      <c r="S12" s="11">
        <f>(((24*Input!$G$6*($J12/(2.54)^4))/(($B12/25.4)*($F12*0.00571)))^0.5)*25.4/1000</f>
        <v>18.383513874743002</v>
      </c>
      <c r="T12" s="11">
        <f>((Input!$G$4*($J12/(2.54)^4)*(Input!$G$5))/(17.1*$F12*0.06854))^(1/4)*0.3048</f>
        <v>10.480294078259099</v>
      </c>
      <c r="U12" s="11">
        <f>(((20*Input!$G$6*($J12/(2.54)^4))/(($B12/25.4)*($F12*0.00571)))^0.5)*25.4/1000</f>
        <v>16.781775392343238</v>
      </c>
      <c r="V12" s="11">
        <f>((384*Input!$C$4*$J12*Input!$C$5)/(3*$F12*100000))^(1/4)</f>
        <v>11.119013295616879</v>
      </c>
      <c r="W12" s="11">
        <f>(((200*Input!$C$6*($J12))/($B12*($F12)))^0.5)</f>
        <v>16.7814282753627</v>
      </c>
      <c r="X12" s="11">
        <f t="shared" si="2"/>
        <v>9.7859741030342047</v>
      </c>
      <c r="Y12" s="26">
        <v>14</v>
      </c>
      <c r="Z12" s="26">
        <v>11.4</v>
      </c>
      <c r="AA12" s="26"/>
      <c r="AB12" s="32">
        <f t="shared" si="5"/>
        <v>1.1649325739034355</v>
      </c>
      <c r="AC12" s="32">
        <f t="shared" si="3"/>
        <v>1.4306189504077278</v>
      </c>
      <c r="AD12" s="32">
        <f t="shared" si="4"/>
        <v>0.95671255320071291</v>
      </c>
    </row>
    <row r="13" spans="1:30" x14ac:dyDescent="0.2">
      <c r="A13" s="9">
        <v>12</v>
      </c>
      <c r="B13" s="6">
        <v>323.85000000000002</v>
      </c>
      <c r="C13" s="5" t="s">
        <v>8</v>
      </c>
      <c r="D13" s="7">
        <v>9.5299999999999994</v>
      </c>
      <c r="E13" s="8">
        <v>120</v>
      </c>
      <c r="F13" s="8">
        <f t="shared" si="0"/>
        <v>724.97048350956061</v>
      </c>
      <c r="G13" s="8">
        <f>(3.14*(B13+E13)*E13*Input!C$2/1000000)*9.81</f>
        <v>328.13013816000006</v>
      </c>
      <c r="H13" s="8">
        <f>((3.14*(B13-2*D13)^2)/4*Input!C$3/1000000)*9.81</f>
        <v>715.38543197248509</v>
      </c>
      <c r="I13" s="8">
        <f>(Input!C$8/1067)*'Bare+Vapour'!B13</f>
        <v>5.0079896907216499</v>
      </c>
      <c r="J13" s="142">
        <f t="shared" si="1"/>
        <v>11636.831740852953</v>
      </c>
      <c r="K13" s="11">
        <f>(Input!C$9*(Input!C$7+I13)*D13^2)/(0.644*F13*((B13/2)*D13)^0.5)</f>
        <v>34.839615444440966</v>
      </c>
      <c r="L13" s="11">
        <f>((384*Input!$C$4*$J13*Input!$C$5)/(5*$F13*100000))^(1/4)</f>
        <v>10.681565107673199</v>
      </c>
      <c r="M13" s="11">
        <f>((160*Input!$C$6*$J13)/(B13*$F13))^0.5</f>
        <v>16.420437119116297</v>
      </c>
      <c r="N13" s="11">
        <f>((384*Input!$C$4*$J13*Input!$C$5)/(($F13*100000)))^(1/4)</f>
        <v>15.972665365294231</v>
      </c>
      <c r="O13" s="11">
        <f>((240*Input!$C$6*$J13)/($B13*$F13))^0.5</f>
        <v>20.110846147645763</v>
      </c>
      <c r="P13" s="11">
        <f>((185*Input!$G$4*($J13/(2.54)^4)*(Input!$G$5))/($F13*0.00571))^(1/4)*25.4/1000</f>
        <v>13.307363210415549</v>
      </c>
      <c r="Q13" s="11">
        <f>(((16*Input!$G$6*($J13/(2.54)^4))/(($B13/25.4)*($F13*0.00571)))^0.5)*25.4/1000</f>
        <v>16.42077676914241</v>
      </c>
      <c r="R13" s="11">
        <f>((384*Input!$G$4*($J13/(2.54)^4)*(Input!$G$5))/($F13*0.00571))^(1/4)*25.4/1000</f>
        <v>15.972830558465255</v>
      </c>
      <c r="S13" s="11">
        <f>(((24*Input!$G$6*($J13/(2.54)^4))/(($B13/25.4)*($F13*0.00571)))^0.5)*25.4/1000</f>
        <v>20.11126213227331</v>
      </c>
      <c r="T13" s="11">
        <f>((Input!$G$4*($J13/(2.54)^4)*(Input!$G$5))/(17.1*$F13*0.06854))^(1/4)*0.3048</f>
        <v>11.439427732572568</v>
      </c>
      <c r="U13" s="11">
        <f>(((20*Input!$G$6*($J13/(2.54)^4))/(($B13/25.4)*($F13*0.00571)))^0.5)*25.4/1000</f>
        <v>18.358986549575896</v>
      </c>
      <c r="V13" s="11">
        <f>((384*Input!$C$4*$J13*Input!$C$5)/(3*$F13*100000))^(1/4)</f>
        <v>12.136601139521789</v>
      </c>
      <c r="W13" s="11">
        <f>(((200*Input!$C$6*($J13))/($B13*($F13)))^0.5)</f>
        <v>18.358606809302426</v>
      </c>
      <c r="X13" s="11">
        <f t="shared" si="2"/>
        <v>10.681565107673199</v>
      </c>
      <c r="Y13" s="26">
        <v>15</v>
      </c>
      <c r="Z13" s="26">
        <v>12.5</v>
      </c>
      <c r="AA13" s="26"/>
      <c r="AB13" s="32">
        <f t="shared" si="5"/>
        <v>1.1702404913508893</v>
      </c>
      <c r="AC13" s="32">
        <f t="shared" si="3"/>
        <v>1.4042885896210673</v>
      </c>
      <c r="AD13" s="32">
        <f t="shared" si="4"/>
        <v>0.93910437969810223</v>
      </c>
    </row>
    <row r="14" spans="1:30" x14ac:dyDescent="0.2">
      <c r="A14" s="9">
        <v>14</v>
      </c>
      <c r="B14" s="6">
        <v>355.6</v>
      </c>
      <c r="C14" s="5" t="s">
        <v>8</v>
      </c>
      <c r="D14" s="7">
        <v>9.5299999999999994</v>
      </c>
      <c r="E14" s="8">
        <v>120</v>
      </c>
      <c r="F14" s="8">
        <f t="shared" si="0"/>
        <v>798.20099016337986</v>
      </c>
      <c r="G14" s="8">
        <f>(3.14*(B14+E14)*E14*Input!C$2/1000000)*9.81</f>
        <v>351.60232896000002</v>
      </c>
      <c r="H14" s="8">
        <f>((3.14*(B14-2*D14)^2)/4*Input!C$3/1000000)*9.81</f>
        <v>872.19189161586019</v>
      </c>
      <c r="I14" s="8">
        <f>(Input!C$8/1067)*'Bare+Vapour'!B14</f>
        <v>5.4989690721649493</v>
      </c>
      <c r="J14" s="142">
        <f t="shared" si="1"/>
        <v>15528.901328725904</v>
      </c>
      <c r="K14" s="11">
        <f>(Input!C$9*(Input!C$7+I14)*D14^2)/(0.644*F14*((B14/2)*D14)^0.5)</f>
        <v>30.338797383825916</v>
      </c>
      <c r="L14" s="11">
        <f>((384*Input!$C$4*$J14*Input!$C$5)/(5*$F14*100000))^(1/4)</f>
        <v>11.207620104924031</v>
      </c>
      <c r="M14" s="11">
        <f>((160*Input!$C$6*$J14)/(B14*$F14))^0.5</f>
        <v>17.251736167857008</v>
      </c>
      <c r="N14" s="11">
        <f>((384*Input!$C$4*$J14*Input!$C$5)/(($F14*100000)))^(1/4)</f>
        <v>16.759301064288593</v>
      </c>
      <c r="O14" s="11">
        <f>((240*Input!$C$6*$J14)/($B14*$F14))^0.5</f>
        <v>21.128975394183655</v>
      </c>
      <c r="P14" s="11">
        <f>((185*Input!$G$4*($J14/(2.54)^4)*(Input!$G$5))/($F14*0.00571))^(1/4)*25.4/1000</f>
        <v>13.962735793600221</v>
      </c>
      <c r="Q14" s="11">
        <f>(((16*Input!$G$6*($J14/(2.54)^4))/(($B14/25.4)*($F14*0.00571)))^0.5)*25.4/1000</f>
        <v>17.252093012963957</v>
      </c>
      <c r="R14" s="11">
        <f>((384*Input!$G$4*($J14/(2.54)^4)*(Input!$G$5))/($F14*0.00571))^(1/4)*25.4/1000</f>
        <v>16.759474393036413</v>
      </c>
      <c r="S14" s="11">
        <f>(((24*Input!$G$6*($J14/(2.54)^4))/(($B14/25.4)*($F14*0.00571)))^0.5)*25.4/1000</f>
        <v>21.129412438398269</v>
      </c>
      <c r="T14" s="11">
        <f>((Input!$G$4*($J14/(2.54)^4)*(Input!$G$5))/(17.1*$F14*0.06854))^(1/4)*0.3048</f>
        <v>12.00280660671215</v>
      </c>
      <c r="U14" s="11">
        <f>(((20*Input!$G$6*($J14/(2.54)^4))/(($B14/25.4)*($F14*0.00571)))^0.5)*25.4/1000</f>
        <v>19.288426365568281</v>
      </c>
      <c r="V14" s="11">
        <f>((384*Input!$C$4*$J14*Input!$C$5)/(3*$F14*100000))^(1/4)</f>
        <v>12.73431501522519</v>
      </c>
      <c r="W14" s="11">
        <f>(((200*Input!$C$6*($J14))/($B14*($F14)))^0.5)</f>
        <v>19.288027400609995</v>
      </c>
      <c r="X14" s="11">
        <f t="shared" si="2"/>
        <v>11.207620104924031</v>
      </c>
      <c r="Y14" s="26">
        <v>16</v>
      </c>
      <c r="Z14" s="26">
        <v>13</v>
      </c>
      <c r="AA14" s="26"/>
      <c r="AB14" s="32">
        <f t="shared" si="5"/>
        <v>1.1599251115130582</v>
      </c>
      <c r="AC14" s="32">
        <f t="shared" si="3"/>
        <v>1.427600137246841</v>
      </c>
      <c r="AD14" s="32">
        <f t="shared" si="4"/>
        <v>0.95469375116683464</v>
      </c>
    </row>
    <row r="15" spans="1:30" x14ac:dyDescent="0.2">
      <c r="A15" s="9">
        <v>16</v>
      </c>
      <c r="B15" s="6">
        <v>406.4</v>
      </c>
      <c r="C15" s="5" t="s">
        <v>8</v>
      </c>
      <c r="D15" s="7">
        <v>9.5299999999999994</v>
      </c>
      <c r="E15" s="8">
        <v>120</v>
      </c>
      <c r="F15" s="8">
        <f t="shared" si="0"/>
        <v>915.36980080949093</v>
      </c>
      <c r="G15" s="8">
        <f>(3.14*(B15+E15)*E15*Input!C$2/1000000)*9.81</f>
        <v>389.15783424000006</v>
      </c>
      <c r="H15" s="8">
        <f>((3.14*(B15-2*D15)^2)/4*Input!C$3/1000000)*9.81</f>
        <v>1155.3760495542601</v>
      </c>
      <c r="I15" s="8">
        <f>(Input!C$8/1067)*'Bare+Vapour'!B15</f>
        <v>6.2845360824742267</v>
      </c>
      <c r="J15" s="142">
        <f t="shared" si="1"/>
        <v>23416.113910126078</v>
      </c>
      <c r="K15" s="11">
        <f>(Input!C$9*(Input!C$7+I15)*D15^2)/(0.644*F15*((B15/2)*D15)^0.5)</f>
        <v>24.931013583000649</v>
      </c>
      <c r="L15" s="11">
        <f>((384*Input!$C$4*$J15*Input!$C$5)/(5*$F15*100000))^(1/4)</f>
        <v>12.00150871908512</v>
      </c>
      <c r="M15" s="11">
        <f>((160*Input!$C$6*$J15)/(B15*$F15))^0.5</f>
        <v>18.50468604109443</v>
      </c>
      <c r="N15" s="11">
        <f>((384*Input!$C$4*$J15*Input!$C$5)/(($F15*100000)))^(1/4)</f>
        <v>17.946441435899782</v>
      </c>
      <c r="O15" s="11">
        <f>((240*Input!$C$6*$J15)/($B15*$F15))^0.5</f>
        <v>22.66351932554193</v>
      </c>
      <c r="P15" s="11">
        <f>((185*Input!$G$4*($J15/(2.54)^4)*(Input!$G$5))/($F15*0.00571))^(1/4)*25.4/1000</f>
        <v>14.95178225175137</v>
      </c>
      <c r="Q15" s="11">
        <f>(((16*Input!$G$6*($J15/(2.54)^4))/(($B15/25.4)*($F15*0.00571)))^0.5)*25.4/1000</f>
        <v>18.505068802957066</v>
      </c>
      <c r="R15" s="11">
        <f>((384*Input!$G$4*($J15/(2.54)^4)*(Input!$G$5))/($F15*0.00571))^(1/4)*25.4/1000</f>
        <v>17.946627042340641</v>
      </c>
      <c r="S15" s="11">
        <f>(((24*Input!$G$6*($J15/(2.54)^4))/(($B15/25.4)*($F15*0.00571)))^0.5)*25.4/1000</f>
        <v>22.663988111170163</v>
      </c>
      <c r="T15" s="11">
        <f>((Input!$G$4*($J15/(2.54)^4)*(Input!$G$5))/(17.1*$F15*0.06854))^(1/4)*0.3048</f>
        <v>12.853022032809594</v>
      </c>
      <c r="U15" s="11">
        <f>(((20*Input!$G$6*($J15/(2.54)^4))/(($B15/25.4)*($F15*0.00571)))^0.5)*25.4/1000</f>
        <v>20.689295885861331</v>
      </c>
      <c r="V15" s="11">
        <f>((384*Input!$C$4*$J15*Input!$C$5)/(3*$F15*100000))^(1/4)</f>
        <v>13.636346633453064</v>
      </c>
      <c r="W15" s="11">
        <f>(((200*Input!$C$6*($J15))/($B15*($F15)))^0.5)</f>
        <v>20.688867945089306</v>
      </c>
      <c r="X15" s="11">
        <f t="shared" si="2"/>
        <v>12.00150871908512</v>
      </c>
      <c r="Y15" s="26">
        <v>17</v>
      </c>
      <c r="Z15" s="26">
        <v>14</v>
      </c>
      <c r="AA15" s="26"/>
      <c r="AB15" s="32">
        <f t="shared" si="5"/>
        <v>1.1665200040838888</v>
      </c>
      <c r="AC15" s="32">
        <f t="shared" si="3"/>
        <v>1.4164885763875792</v>
      </c>
      <c r="AD15" s="32">
        <f t="shared" si="4"/>
        <v>0.94726300256904772</v>
      </c>
    </row>
    <row r="16" spans="1:30" x14ac:dyDescent="0.2">
      <c r="A16" s="9">
        <v>18</v>
      </c>
      <c r="B16" s="6">
        <v>457.2</v>
      </c>
      <c r="C16" s="5" t="s">
        <v>8</v>
      </c>
      <c r="D16" s="7">
        <v>9.5299999999999994</v>
      </c>
      <c r="E16" s="8">
        <v>120</v>
      </c>
      <c r="F16" s="8">
        <f t="shared" si="0"/>
        <v>1032.5386114556029</v>
      </c>
      <c r="G16" s="8">
        <f>(3.14*(B16+E16)*E16*Input!C$2/1000000)*9.81</f>
        <v>426.71333952000003</v>
      </c>
      <c r="H16" s="8">
        <f>((3.14*(B16-2*D16)^2)/4*Input!C$3/1000000)*9.81</f>
        <v>1478.3064505806599</v>
      </c>
      <c r="I16" s="8">
        <f>(Input!C$8/1067)*'Bare+Vapour'!B16</f>
        <v>7.0701030927835049</v>
      </c>
      <c r="J16" s="142">
        <f t="shared" si="1"/>
        <v>33603.955567629222</v>
      </c>
      <c r="K16" s="11">
        <f>(Input!C$9*(Input!C$7+I16)*D16^2)/(0.644*F16*((B16/2)*D16)^0.5)</f>
        <v>20.991916643678628</v>
      </c>
      <c r="L16" s="11">
        <f>((384*Input!$C$4*$J16*Input!$C$5)/(5*$F16*100000))^(1/4)</f>
        <v>12.746099657838492</v>
      </c>
      <c r="M16" s="11">
        <f>((160*Input!$C$6*$J16)/(B16*$F16))^0.5</f>
        <v>19.678336802405482</v>
      </c>
      <c r="N16" s="11">
        <f>((384*Input!$C$4*$J16*Input!$C$5)/(($F16*100000)))^(1/4)</f>
        <v>19.059864588673008</v>
      </c>
      <c r="O16" s="11">
        <f>((240*Input!$C$6*$J16)/($B16*$F16))^0.5</f>
        <v>24.100942076262477</v>
      </c>
      <c r="P16" s="11">
        <f>((185*Input!$G$4*($J16/(2.54)^4)*(Input!$G$5))/($F16*0.00571))^(1/4)*25.4/1000</f>
        <v>15.879412422545109</v>
      </c>
      <c r="Q16" s="11">
        <f>(((16*Input!$G$6*($J16/(2.54)^4))/(($B16/25.4)*($F16*0.00571)))^0.5)*25.4/1000</f>
        <v>19.67874384075412</v>
      </c>
      <c r="R16" s="11">
        <f>((384*Input!$G$4*($J16/(2.54)^4)*(Input!$G$5))/($F16*0.00571))^(1/4)*25.4/1000</f>
        <v>19.060061710405577</v>
      </c>
      <c r="S16" s="11">
        <f>(((24*Input!$G$6*($J16/(2.54)^4))/(($B16/25.4)*($F16*0.00571)))^0.5)*25.4/1000</f>
        <v>24.101440594392429</v>
      </c>
      <c r="T16" s="11">
        <f>((Input!$G$4*($J16/(2.54)^4)*(Input!$G$5))/(17.1*$F16*0.06854))^(1/4)*0.3048</f>
        <v>13.650442087673913</v>
      </c>
      <c r="U16" s="11">
        <f>(((20*Input!$G$6*($J16/(2.54)^4))/(($B16/25.4)*($F16*0.00571)))^0.5)*25.4/1000</f>
        <v>22.001504469865754</v>
      </c>
      <c r="V16" s="11">
        <f>((384*Input!$C$4*$J16*Input!$C$5)/(3*$F16*100000))^(1/4)</f>
        <v>14.482365278160861</v>
      </c>
      <c r="W16" s="11">
        <f>(((200*Input!$C$6*($J16))/($B16*($F16)))^0.5)</f>
        <v>22.001049387157256</v>
      </c>
      <c r="X16" s="11">
        <f t="shared" si="2"/>
        <v>12.746099657838492</v>
      </c>
      <c r="Y16" s="26">
        <v>18</v>
      </c>
      <c r="Z16" s="26">
        <v>14.9</v>
      </c>
      <c r="AA16" s="26"/>
      <c r="AB16" s="32">
        <f t="shared" si="5"/>
        <v>1.1689850542504523</v>
      </c>
      <c r="AC16" s="32">
        <f t="shared" si="3"/>
        <v>1.412196709832761</v>
      </c>
      <c r="AD16" s="32">
        <f t="shared" si="4"/>
        <v>0.94439285842026022</v>
      </c>
    </row>
    <row r="17" spans="1:30" x14ac:dyDescent="0.2">
      <c r="A17" s="9">
        <v>20</v>
      </c>
      <c r="B17" s="6">
        <v>508</v>
      </c>
      <c r="C17" s="5" t="s">
        <v>8</v>
      </c>
      <c r="D17" s="7">
        <v>9.5299999999999994</v>
      </c>
      <c r="E17" s="8">
        <v>140</v>
      </c>
      <c r="F17" s="8">
        <f t="shared" si="0"/>
        <v>1149.7074221017133</v>
      </c>
      <c r="G17" s="8">
        <f>(3.14*(B17+E17)*E17*Input!C$2/1000000)*9.81</f>
        <v>558.89688960000001</v>
      </c>
      <c r="H17" s="8">
        <f>((3.14*(B17-2*D17)^2)/4*Input!C$3/1000000)*9.81</f>
        <v>1840.9830946950603</v>
      </c>
      <c r="I17" s="8">
        <f>(Input!C$8/1067)*'Bare+Vapour'!B17</f>
        <v>7.855670103092784</v>
      </c>
      <c r="J17" s="142">
        <f t="shared" si="1"/>
        <v>46386.910533014052</v>
      </c>
      <c r="K17" s="11">
        <f>(Input!C$9*(Input!C$7+I17)*D17^2)/(0.644*F17*((B17/2)*D17)^0.5)</f>
        <v>18.016360959654666</v>
      </c>
      <c r="L17" s="11">
        <f>((384*Input!$C$4*$J17*Input!$C$5)/(5*$F17*100000))^(1/4)</f>
        <v>13.449567315923181</v>
      </c>
      <c r="M17" s="11">
        <f>((160*Input!$C$6*$J17)/(B17*$F17))^0.5</f>
        <v>20.786034820211594</v>
      </c>
      <c r="N17" s="11">
        <f>((384*Input!$C$4*$J17*Input!$C$5)/(($F17*100000)))^(1/4)</f>
        <v>20.111794093818489</v>
      </c>
      <c r="O17" s="11">
        <f>((240*Input!$C$6*$J17)/($B17*$F17))^0.5</f>
        <v>25.45758954262114</v>
      </c>
      <c r="P17" s="11">
        <f>((185*Input!$G$4*($J17/(2.54)^4)*(Input!$G$5))/($F17*0.00571))^(1/4)*25.4/1000</f>
        <v>16.755810173113385</v>
      </c>
      <c r="Q17" s="11">
        <f>(((16*Input!$G$6*($J17/(2.54)^4))/(($B17/25.4)*($F17*0.00571)))^0.5)*25.4/1000</f>
        <v>20.786464770840695</v>
      </c>
      <c r="R17" s="11">
        <f>((384*Input!$G$4*($J17/(2.54)^4)*(Input!$G$5))/($F17*0.00571))^(1/4)*25.4/1000</f>
        <v>20.112002094860603</v>
      </c>
      <c r="S17" s="11">
        <f>(((24*Input!$G$6*($J17/(2.54)^4))/(($B17/25.4)*($F17*0.00571)))^0.5)*25.4/1000</f>
        <v>25.458116122449084</v>
      </c>
      <c r="T17" s="11">
        <f>((Input!$G$4*($J17/(2.54)^4)*(Input!$G$5))/(17.1*$F17*0.06854))^(1/4)*0.3048</f>
        <v>14.403821143621535</v>
      </c>
      <c r="U17" s="11">
        <f>(((20*Input!$G$6*($J17/(2.54)^4))/(($B17/25.4)*($F17*0.00571)))^0.5)*25.4/1000</f>
        <v>23.239974119752191</v>
      </c>
      <c r="V17" s="11">
        <f>((384*Input!$C$4*$J17*Input!$C$5)/(3*$F17*100000))^(1/4)</f>
        <v>15.281658854960224</v>
      </c>
      <c r="W17" s="11">
        <f>(((200*Input!$C$6*($J17))/($B17*($F17)))^0.5)</f>
        <v>23.239493420335371</v>
      </c>
      <c r="X17" s="11">
        <f t="shared" si="2"/>
        <v>13.449567315923181</v>
      </c>
      <c r="Y17" s="26">
        <v>19</v>
      </c>
      <c r="Z17" s="26">
        <v>15.6</v>
      </c>
      <c r="AA17" s="26"/>
      <c r="AB17" s="32">
        <f t="shared" si="5"/>
        <v>1.1598886145230027</v>
      </c>
      <c r="AC17" s="32">
        <f t="shared" si="3"/>
        <v>1.4126848510216059</v>
      </c>
      <c r="AD17" s="32">
        <f t="shared" si="4"/>
        <v>0.94471929810776023</v>
      </c>
    </row>
    <row r="18" spans="1:30" x14ac:dyDescent="0.2">
      <c r="A18" s="9">
        <v>24</v>
      </c>
      <c r="B18" s="6">
        <v>609.6</v>
      </c>
      <c r="C18" s="5" t="s">
        <v>8</v>
      </c>
      <c r="D18" s="7">
        <v>9.5299999999999994</v>
      </c>
      <c r="E18" s="8">
        <v>140</v>
      </c>
      <c r="F18" s="8">
        <f t="shared" si="0"/>
        <v>1384.0450433939338</v>
      </c>
      <c r="G18" s="8">
        <f>(3.14*(B18+E18)*E18*Input!C$2/1000000)*9.81</f>
        <v>646.52640192000013</v>
      </c>
      <c r="H18" s="8">
        <f>((3.14*(B18-2*D18)^2)/4*Input!C$3/1000000)*9.81</f>
        <v>2685.5751121878611</v>
      </c>
      <c r="I18" s="8">
        <f>(Input!C$8/1067)*'Bare+Vapour'!B18</f>
        <v>9.4268041237113405</v>
      </c>
      <c r="J18" s="142">
        <f t="shared" si="1"/>
        <v>80916.097314543847</v>
      </c>
      <c r="K18" s="11">
        <f>(Input!C$9*(Input!C$7+I18)*D18^2)/(0.644*F18*((B18/2)*D18)^0.5)</f>
        <v>13.860991467544265</v>
      </c>
      <c r="L18" s="11">
        <f>((384*Input!$C$4*$J18*Input!$C$5)/(5*$F18*100000))^(1/4)</f>
        <v>14.756299473197432</v>
      </c>
      <c r="M18" s="11">
        <f>((160*Input!$C$6*$J18)/(B18*$F18))^0.5</f>
        <v>22.841221351774454</v>
      </c>
      <c r="N18" s="11">
        <f>((384*Input!$C$4*$J18*Input!$C$5)/(($F18*100000)))^(1/4)</f>
        <v>22.065814432581114</v>
      </c>
      <c r="O18" s="11">
        <f>((240*Input!$C$6*$J18)/($B18*$F18))^0.5</f>
        <v>27.974668706905824</v>
      </c>
      <c r="P18" s="11">
        <f>((185*Input!$G$4*($J18/(2.54)^4)*(Input!$G$5))/($F18*0.00571))^(1/4)*25.4/1000</f>
        <v>18.383770051678997</v>
      </c>
      <c r="Q18" s="11">
        <f>(((16*Input!$G$6*($J18/(2.54)^4))/(($B18/25.4)*($F18*0.00571)))^0.5)*25.4/1000</f>
        <v>22.841693813096423</v>
      </c>
      <c r="R18" s="11">
        <f>((384*Input!$G$4*($J18/(2.54)^4)*(Input!$G$5))/($F18*0.00571))^(1/4)*25.4/1000</f>
        <v>22.066042642574498</v>
      </c>
      <c r="S18" s="11">
        <f>(((24*Input!$G$6*($J18/(2.54)^4))/(($B18/25.4)*($F18*0.00571)))^0.5)*25.4/1000</f>
        <v>27.975247351486832</v>
      </c>
      <c r="T18" s="11">
        <f>((Input!$G$4*($J18/(2.54)^4)*(Input!$G$5))/(17.1*$F18*0.06854))^(1/4)*0.3048</f>
        <v>15.803266630147581</v>
      </c>
      <c r="U18" s="11">
        <f>(((20*Input!$G$6*($J18/(2.54)^4))/(($B18/25.4)*($F18*0.00571)))^0.5)*25.4/1000</f>
        <v>25.537790043659992</v>
      </c>
      <c r="V18" s="11">
        <f>((384*Input!$C$4*$J18*Input!$C$5)/(3*$F18*100000))^(1/4)</f>
        <v>16.766393238841079</v>
      </c>
      <c r="W18" s="11">
        <f>(((200*Input!$C$6*($J18))/($B18*($F18)))^0.5)</f>
        <v>25.53726181584366</v>
      </c>
      <c r="X18" s="11">
        <f t="shared" si="2"/>
        <v>14.756299473197432</v>
      </c>
      <c r="Y18" s="26">
        <v>21</v>
      </c>
      <c r="Z18" s="26">
        <v>17.2</v>
      </c>
      <c r="AA18" s="26"/>
      <c r="AB18" s="32">
        <f t="shared" si="5"/>
        <v>1.1656038853942465</v>
      </c>
      <c r="AC18" s="32">
        <f t="shared" si="3"/>
        <v>1.4231210228650684</v>
      </c>
      <c r="AD18" s="32">
        <f t="shared" si="4"/>
        <v>0.95169838684914376</v>
      </c>
    </row>
    <row r="19" spans="1:30" x14ac:dyDescent="0.2">
      <c r="A19" s="5">
        <v>0.75</v>
      </c>
      <c r="B19" s="6">
        <v>26.67</v>
      </c>
      <c r="C19" s="5" t="s">
        <v>9</v>
      </c>
      <c r="D19" s="7">
        <v>3.91</v>
      </c>
      <c r="E19" s="8">
        <v>40</v>
      </c>
      <c r="F19" s="8">
        <f t="shared" si="0"/>
        <v>21.537952940764079</v>
      </c>
      <c r="G19" s="8">
        <f>(3.14*(B19+E19)*E19*Input!C$2/1000000)*9.81</f>
        <v>16.429301424000002</v>
      </c>
      <c r="H19" s="8">
        <f>((3.14*(B19-2*D19)^2)/4*Input!C$3/1000000)*9.81</f>
        <v>2.7362852741250006</v>
      </c>
      <c r="I19" s="8">
        <f>(Input!C$8/1067)*'Bare+Vapour'!B19</f>
        <v>0.41242268041237118</v>
      </c>
      <c r="J19" s="142">
        <f t="shared" si="1"/>
        <v>1.8644553960993349</v>
      </c>
      <c r="K19" s="11">
        <f>(Input!C$9*(Input!C$7+I19)*D19^2)/(0.644*F19*((B19/2)*D19)^0.5)</f>
        <v>1026.9293900512127</v>
      </c>
      <c r="L19" s="11">
        <f>((384*Input!$C$4*$J19*Input!$C$5)/(5*$F19*100000))^(1/4)</f>
        <v>2.8946307952475006</v>
      </c>
      <c r="M19" s="11">
        <f>((160*Input!$C$6*$J19)/(B19*$F19))^0.5</f>
        <v>4.2020549677351013</v>
      </c>
      <c r="N19" s="11">
        <f>((384*Input!$C$4*$J19*Input!$C$5)/(($F19*100000)))^(1/4)</f>
        <v>4.3284826317587619</v>
      </c>
      <c r="O19" s="11">
        <f>((240*Input!$C$6*$J19)/($B19*$F19))^0.5</f>
        <v>5.1464452710391146</v>
      </c>
      <c r="P19" s="11">
        <f>((185*Input!$G$4*($J19/(2.54)^4)*(Input!$G$5))/($F19*0.00571))^(1/4)*25.4/1000</f>
        <v>3.6062040500732788</v>
      </c>
      <c r="Q19" s="11">
        <f>(((16*Input!$G$6*($J19/(2.54)^4))/(($B19/25.4)*($F19*0.00571)))^0.5)*25.4/1000</f>
        <v>4.2021418855235364</v>
      </c>
      <c r="R19" s="11">
        <f>((384*Input!$G$4*($J19/(2.54)^4)*(Input!$G$5))/($F19*0.00571))^(1/4)*25.4/1000</f>
        <v>4.3285273979737502</v>
      </c>
      <c r="S19" s="11">
        <f>(((24*Input!$G$6*($J19/(2.54)^4))/(($B19/25.4)*($F19*0.00571)))^0.5)*25.4/1000</f>
        <v>5.1465517231547322</v>
      </c>
      <c r="T19" s="11">
        <f>((Input!$G$4*($J19/(2.54)^4)*(Input!$G$5))/(17.1*$F19*0.06854))^(1/4)*0.3048</f>
        <v>3.1000063624501886</v>
      </c>
      <c r="U19" s="11">
        <f>(((20*Input!$G$6*($J19/(2.54)^4))/(($B19/25.4)*($F19*0.00571)))^0.5)*25.4/1000</f>
        <v>4.6981374535648825</v>
      </c>
      <c r="V19" s="11">
        <f>((384*Input!$C$4*$J19*Input!$C$5)/(3*$F19*100000))^(1/4)</f>
        <v>3.2889355683334287</v>
      </c>
      <c r="W19" s="11">
        <f>(((200*Input!$C$6*($J19))/($B19*($F19)))^0.5)</f>
        <v>4.6980402765231855</v>
      </c>
      <c r="X19" s="11">
        <f t="shared" si="2"/>
        <v>2.8946307952475006</v>
      </c>
      <c r="Y19" s="26">
        <v>4.5</v>
      </c>
      <c r="Z19" s="26" t="s">
        <v>6</v>
      </c>
      <c r="AA19" s="26" t="s">
        <v>6</v>
      </c>
      <c r="AB19" s="33" t="s">
        <v>6</v>
      </c>
      <c r="AC19" s="32">
        <f t="shared" si="3"/>
        <v>1.55460240642373</v>
      </c>
      <c r="AD19" s="32">
        <f t="shared" si="4"/>
        <v>1.0396252873888849</v>
      </c>
    </row>
    <row r="20" spans="1:30" x14ac:dyDescent="0.2">
      <c r="A20" s="5">
        <v>1</v>
      </c>
      <c r="B20" s="6">
        <v>33.4</v>
      </c>
      <c r="C20" s="5" t="s">
        <v>9</v>
      </c>
      <c r="D20" s="7">
        <v>4.55</v>
      </c>
      <c r="E20" s="8">
        <v>40</v>
      </c>
      <c r="F20" s="8">
        <f t="shared" si="0"/>
        <v>31.769664076741503</v>
      </c>
      <c r="G20" s="8">
        <f>(3.14*(B20+E20)*E20*Input!C$2/1000000)*9.81</f>
        <v>18.087756480000003</v>
      </c>
      <c r="H20" s="8">
        <f>((3.14*(B20-2*D20)^2)/4*Input!C$3/1000000)*9.81</f>
        <v>4.5472749165000002</v>
      </c>
      <c r="I20" s="8">
        <f>(Input!C$8/1067)*'Bare+Vapour'!B20</f>
        <v>0.51649484536082479</v>
      </c>
      <c r="J20" s="142">
        <f t="shared" si="1"/>
        <v>4.3989166291809374</v>
      </c>
      <c r="K20" s="11">
        <f>(Input!C$9*(Input!C$7+I20)*D20^2)/(0.644*F20*((B20/2)*D20)^0.5)</f>
        <v>781.75831230122242</v>
      </c>
      <c r="L20" s="11">
        <f>((384*Input!$C$4*$J20*Input!$C$5)/(5*$F20*100000))^(1/4)</f>
        <v>3.2552890821681419</v>
      </c>
      <c r="M20" s="11">
        <f>((160*Input!$C$6*$J20)/(B20*$F20))^0.5</f>
        <v>4.7488972234290436</v>
      </c>
      <c r="N20" s="11">
        <f>((384*Input!$C$4*$J20*Input!$C$5)/(($F20*100000)))^(1/4)</f>
        <v>4.8677925615428768</v>
      </c>
      <c r="O20" s="11">
        <f>((240*Input!$C$6*$J20)/($B20*$F20))^0.5</f>
        <v>5.8161875191604784</v>
      </c>
      <c r="P20" s="11">
        <f>((185*Input!$G$4*($J20/(2.54)^4)*(Input!$G$5))/($F20*0.00571))^(1/4)*25.4/1000</f>
        <v>4.0555212400655529</v>
      </c>
      <c r="Q20" s="11">
        <f>(((16*Input!$G$6*($J20/(2.54)^4))/(($B20/25.4)*($F20*0.00571)))^0.5)*25.4/1000</f>
        <v>4.7489954524258877</v>
      </c>
      <c r="R20" s="11">
        <f>((384*Input!$G$4*($J20/(2.54)^4)*(Input!$G$5))/($F20*0.00571))^(1/4)*25.4/1000</f>
        <v>4.8678429054316865</v>
      </c>
      <c r="S20" s="11">
        <f>(((24*Input!$G$6*($J20/(2.54)^4))/(($B20/25.4)*($F20*0.00571)))^0.5)*25.4/1000</f>
        <v>5.8163078246205853</v>
      </c>
      <c r="T20" s="11">
        <f>((Input!$G$4*($J20/(2.54)^4)*(Input!$G$5))/(17.1*$F20*0.06854))^(1/4)*0.3048</f>
        <v>3.4862535432512818</v>
      </c>
      <c r="U20" s="11">
        <f>(((20*Input!$G$6*($J20/(2.54)^4))/(($B20/25.4)*($F20*0.00571)))^0.5)*25.4/1000</f>
        <v>5.3095383282308264</v>
      </c>
      <c r="V20" s="11">
        <f>((384*Input!$C$4*$J20*Input!$C$5)/(3*$F20*100000))^(1/4)</f>
        <v>3.6987224986096545</v>
      </c>
      <c r="W20" s="11">
        <f>(((200*Input!$C$6*($J20))/($B20*($F20)))^0.5)</f>
        <v>5.309428504873674</v>
      </c>
      <c r="X20" s="11">
        <f t="shared" si="2"/>
        <v>3.2552890821681419</v>
      </c>
      <c r="Y20" s="26">
        <v>5</v>
      </c>
      <c r="Z20" s="26">
        <v>3.8</v>
      </c>
      <c r="AA20" s="26">
        <v>5.7</v>
      </c>
      <c r="AB20" s="32">
        <f>Z20/MIN(L20:W20)</f>
        <v>1.1673310431370538</v>
      </c>
      <c r="AC20" s="32">
        <f t="shared" si="3"/>
        <v>1.5359618988645447</v>
      </c>
      <c r="AD20" s="32">
        <f t="shared" si="4"/>
        <v>1.0271596286788398</v>
      </c>
    </row>
    <row r="21" spans="1:30" x14ac:dyDescent="0.2">
      <c r="A21" s="5">
        <v>1.5</v>
      </c>
      <c r="B21" s="6">
        <v>48.26</v>
      </c>
      <c r="C21" s="5" t="s">
        <v>9</v>
      </c>
      <c r="D21" s="7">
        <v>5.08</v>
      </c>
      <c r="E21" s="8">
        <v>50</v>
      </c>
      <c r="F21" s="8">
        <f t="shared" si="0"/>
        <v>53.088659430210733</v>
      </c>
      <c r="G21" s="8">
        <f>(3.14*(B21+E21)*E21*Input!C$2/1000000)*9.81</f>
        <v>30.267420839999996</v>
      </c>
      <c r="H21" s="8">
        <f>((3.14*(B21-2*D21)^2)/4*Input!C$3/1000000)*9.81</f>
        <v>11.178630868499999</v>
      </c>
      <c r="I21" s="8">
        <f>(Input!C$8/1067)*'Bare+Vapour'!B21</f>
        <v>0.74628865979381442</v>
      </c>
      <c r="J21" s="142">
        <f t="shared" si="1"/>
        <v>16.289515278788155</v>
      </c>
      <c r="K21" s="11">
        <f>(Input!C$9*(Input!C$7+I21)*D21^2)/(0.644*F21*((B21/2)*D21)^0.5)</f>
        <v>460.18572245813857</v>
      </c>
      <c r="L21" s="11">
        <f>((384*Input!$C$4*$J21*Input!$C$5)/(5*$F21*100000))^(1/4)</f>
        <v>3.9717589711927448</v>
      </c>
      <c r="M21" s="11">
        <f>((160*Input!$C$6*$J21)/(B21*$F21))^0.5</f>
        <v>5.8811057993475782</v>
      </c>
      <c r="N21" s="11">
        <f>((384*Input!$C$4*$J21*Input!$C$5)/(($F21*100000)))^(1/4)</f>
        <v>5.9391649368775203</v>
      </c>
      <c r="O21" s="11">
        <f>((240*Input!$C$6*$J21)/($B21*$F21))^0.5</f>
        <v>7.2028541658622798</v>
      </c>
      <c r="P21" s="11">
        <f>((185*Input!$G$4*($J21/(2.54)^4)*(Input!$G$5))/($F21*0.00571))^(1/4)*25.4/1000</f>
        <v>4.9481174978674582</v>
      </c>
      <c r="Q21" s="11">
        <f>(((16*Input!$G$6*($J21/(2.54)^4))/(($B21/25.4)*($F21*0.00571)))^0.5)*25.4/1000</f>
        <v>5.8812274476157596</v>
      </c>
      <c r="R21" s="11">
        <f>((384*Input!$G$4*($J21/(2.54)^4)*(Input!$G$5))/($F21*0.00571))^(1/4)*25.4/1000</f>
        <v>5.9392263611587346</v>
      </c>
      <c r="S21" s="11">
        <f>(((24*Input!$G$6*($J21/(2.54)^4))/(($B21/25.4)*($F21*0.00571)))^0.5)*25.4/1000</f>
        <v>7.203003153954846</v>
      </c>
      <c r="T21" s="11">
        <f>((Input!$G$4*($J21/(2.54)^4)*(Input!$G$5))/(17.1*$F21*0.06854))^(1/4)*0.3048</f>
        <v>4.2535573452169277</v>
      </c>
      <c r="U21" s="11">
        <f>(((20*Input!$G$6*($J21/(2.54)^4))/(($B21/25.4)*($F21*0.00571)))^0.5)*25.4/1000</f>
        <v>6.5754121820032116</v>
      </c>
      <c r="V21" s="11">
        <f>((384*Input!$C$4*$J21*Input!$C$5)/(3*$F21*100000))^(1/4)</f>
        <v>4.512789462010228</v>
      </c>
      <c r="W21" s="11">
        <f>(((200*Input!$C$6*($J21))/($B21*($F21)))^0.5)</f>
        <v>6.5752761751047117</v>
      </c>
      <c r="X21" s="11">
        <f t="shared" si="2"/>
        <v>3.9717589711927448</v>
      </c>
      <c r="Y21" s="26">
        <v>6</v>
      </c>
      <c r="Z21" s="26">
        <v>4.6500000000000004</v>
      </c>
      <c r="AA21" s="26">
        <v>6.9</v>
      </c>
      <c r="AB21" s="32">
        <f>Z21/MIN(L21:W21)</f>
        <v>1.1707659084366782</v>
      </c>
      <c r="AC21" s="32">
        <f t="shared" si="3"/>
        <v>1.5106656883053911</v>
      </c>
      <c r="AD21" s="32">
        <f t="shared" si="4"/>
        <v>1.0102430331147636</v>
      </c>
    </row>
    <row r="22" spans="1:30" x14ac:dyDescent="0.2">
      <c r="A22" s="5">
        <v>2</v>
      </c>
      <c r="B22" s="6">
        <v>60.32</v>
      </c>
      <c r="C22" s="5" t="s">
        <v>9</v>
      </c>
      <c r="D22" s="7">
        <v>5.54</v>
      </c>
      <c r="E22" s="8">
        <v>50</v>
      </c>
      <c r="F22" s="8">
        <f t="shared" si="0"/>
        <v>73.449222218800543</v>
      </c>
      <c r="G22" s="8">
        <f>(3.14*(B22+E22)*E22*Input!C$2/1000000)*9.81</f>
        <v>33.98231088</v>
      </c>
      <c r="H22" s="8">
        <f>((3.14*(B22-2*D22)^2)/4*Input!C$3/1000000)*9.81</f>
        <v>18.671308410960002</v>
      </c>
      <c r="I22" s="8">
        <f>(Input!C$8/1067)*'Bare+Vapour'!B22</f>
        <v>0.93278350515463926</v>
      </c>
      <c r="J22" s="142">
        <f t="shared" si="1"/>
        <v>36.142804873030677</v>
      </c>
      <c r="K22" s="11">
        <f>(Input!C$9*(Input!C$7+I22)*D22^2)/(0.644*F22*((B22/2)*D22)^0.5)</f>
        <v>339.4555884888224</v>
      </c>
      <c r="L22" s="11">
        <f>((384*Input!$C$4*$J22*Input!$C$5)/(5*$F22*100000))^(1/4)</f>
        <v>4.4695618096076952</v>
      </c>
      <c r="M22" s="11">
        <f>((160*Input!$C$6*$J22)/(B22*$F22))^0.5</f>
        <v>6.6617159276330051</v>
      </c>
      <c r="N22" s="11">
        <f>((384*Input!$C$4*$J22*Input!$C$5)/(($F22*100000)))^(1/4)</f>
        <v>6.6835538045897804</v>
      </c>
      <c r="O22" s="11">
        <f>((240*Input!$C$6*$J22)/($B22*$F22))^0.5</f>
        <v>8.1589024170361846</v>
      </c>
      <c r="P22" s="11">
        <f>((185*Input!$G$4*($J22/(2.54)^4)*(Input!$G$5))/($F22*0.00571))^(1/4)*25.4/1000</f>
        <v>5.568292829027949</v>
      </c>
      <c r="Q22" s="11">
        <f>(((16*Input!$G$6*($J22/(2.54)^4))/(($B22/25.4)*($F22*0.00571)))^0.5)*25.4/1000</f>
        <v>6.6618537225024346</v>
      </c>
      <c r="R22" s="11">
        <f>((384*Input!$G$4*($J22/(2.54)^4)*(Input!$G$5))/($F22*0.00571))^(1/4)*25.4/1000</f>
        <v>6.6836229275208288</v>
      </c>
      <c r="S22" s="11">
        <f>(((24*Input!$G$6*($J22/(2.54)^4))/(($B22/25.4)*($F22*0.00571)))^0.5)*25.4/1000</f>
        <v>8.1590711805958218</v>
      </c>
      <c r="T22" s="11">
        <f>((Input!$G$4*($J22/(2.54)^4)*(Input!$G$5))/(17.1*$F22*0.06854))^(1/4)*0.3048</f>
        <v>4.7866795550910757</v>
      </c>
      <c r="U22" s="11">
        <f>(((20*Input!$G$6*($J22/(2.54)^4))/(($B22/25.4)*($F22*0.00571)))^0.5)*25.4/1000</f>
        <v>7.448178889837731</v>
      </c>
      <c r="V22" s="11">
        <f>((384*Input!$C$4*$J22*Input!$C$5)/(3*$F22*100000))^(1/4)</f>
        <v>5.0784026876997856</v>
      </c>
      <c r="W22" s="11">
        <f>(((200*Input!$C$6*($J22))/($B22*($F22)))^0.5)</f>
        <v>7.4480248304902341</v>
      </c>
      <c r="X22" s="11">
        <f t="shared" si="2"/>
        <v>4.4695618096076952</v>
      </c>
      <c r="Y22" s="26">
        <v>6.5</v>
      </c>
      <c r="Z22" s="26">
        <v>5.25</v>
      </c>
      <c r="AA22" s="26">
        <v>7.9</v>
      </c>
      <c r="AB22" s="32">
        <f>Z22/MIN(L22:W22)</f>
        <v>1.1746117905148303</v>
      </c>
      <c r="AC22" s="32">
        <f t="shared" si="3"/>
        <v>1.4542812644469327</v>
      </c>
      <c r="AD22" s="32">
        <f t="shared" si="4"/>
        <v>0.97253649630773842</v>
      </c>
    </row>
    <row r="23" spans="1:30" x14ac:dyDescent="0.2">
      <c r="A23" s="5">
        <v>2.5</v>
      </c>
      <c r="B23" s="6">
        <v>73.02</v>
      </c>
      <c r="C23" s="5" t="s">
        <v>9</v>
      </c>
      <c r="D23" s="7">
        <v>7.01</v>
      </c>
      <c r="E23" s="8">
        <v>50</v>
      </c>
      <c r="F23" s="8">
        <f t="shared" si="0"/>
        <v>111.99100946690531</v>
      </c>
      <c r="G23" s="8">
        <f>(3.14*(B23+E23)*E23*Input!C$2/1000000)*9.81</f>
        <v>37.894342680000001</v>
      </c>
      <c r="H23" s="8">
        <f>((3.14*(B23-2*D23)^2)/4*Input!C$3/1000000)*9.81</f>
        <v>26.806658849999998</v>
      </c>
      <c r="I23" s="8">
        <f>(Input!C$8/1067)*'Bare+Vapour'!B23</f>
        <v>1.1291752577319587</v>
      </c>
      <c r="J23" s="142">
        <f t="shared" si="1"/>
        <v>80.102184494851457</v>
      </c>
      <c r="K23" s="11">
        <f>(Input!C$9*(Input!C$7+I23)*D23^2)/(0.644*F23*((B23/2)*D23)^0.5)</f>
        <v>288.57144352557646</v>
      </c>
      <c r="L23" s="11">
        <f>((384*Input!$C$4*$J23*Input!$C$5)/(5*$F23*100000))^(1/4)</f>
        <v>4.9076274250140202</v>
      </c>
      <c r="M23" s="11">
        <f>((160*Input!$C$6*$J23)/(B23*$F23))^0.5</f>
        <v>7.2997693150879464</v>
      </c>
      <c r="N23" s="11">
        <f>((384*Input!$C$4*$J23*Input!$C$5)/(($F23*100000)))^(1/4)</f>
        <v>7.3386146886825516</v>
      </c>
      <c r="O23" s="11">
        <f>((240*Input!$C$6*$J23)/($B23*$F23))^0.5</f>
        <v>8.9403550309956543</v>
      </c>
      <c r="P23" s="11">
        <f>((185*Input!$G$4*($J23/(2.54)^4)*(Input!$G$5))/($F23*0.00571))^(1/4)*25.4/1000</f>
        <v>6.1140460211344561</v>
      </c>
      <c r="Q23" s="11">
        <f>(((16*Input!$G$6*($J23/(2.54)^4))/(($B23/25.4)*($F23*0.00571)))^0.5)*25.4/1000</f>
        <v>7.2999203078307415</v>
      </c>
      <c r="R23" s="11">
        <f>((384*Input!$G$4*($J23/(2.54)^4)*(Input!$G$5))/($F23*0.00571))^(1/4)*25.4/1000</f>
        <v>7.3386905864118033</v>
      </c>
      <c r="S23" s="11">
        <f>(((24*Input!$G$6*($J23/(2.54)^4))/(($B23/25.4)*($F23*0.00571)))^0.5)*25.4/1000</f>
        <v>8.9405399585830096</v>
      </c>
      <c r="T23" s="11">
        <f>((Input!$G$4*($J23/(2.54)^4)*(Input!$G$5))/(17.1*$F23*0.06854))^(1/4)*0.3048</f>
        <v>5.2558261547748364</v>
      </c>
      <c r="U23" s="11">
        <f>(((20*Input!$G$6*($J23/(2.54)^4))/(($B23/25.4)*($F23*0.00571)))^0.5)*25.4/1000</f>
        <v>8.1615590193203644</v>
      </c>
      <c r="V23" s="11">
        <f>((384*Input!$C$4*$J23*Input!$C$5)/(3*$F23*100000))^(1/4)</f>
        <v>5.5761413237079545</v>
      </c>
      <c r="W23" s="11">
        <f>(((200*Input!$C$6*($J23))/($B23*($F23)))^0.5)</f>
        <v>8.1613902043018651</v>
      </c>
      <c r="X23" s="11">
        <f t="shared" si="2"/>
        <v>4.9076274250140202</v>
      </c>
      <c r="Y23" s="26">
        <v>7.5</v>
      </c>
      <c r="Z23" s="26" t="s">
        <v>6</v>
      </c>
      <c r="AA23" s="26" t="s">
        <v>6</v>
      </c>
      <c r="AB23" s="33" t="s">
        <v>6</v>
      </c>
      <c r="AC23" s="32">
        <f t="shared" si="3"/>
        <v>1.5282333703191771</v>
      </c>
      <c r="AD23" s="32">
        <f t="shared" si="4"/>
        <v>1.0219912501423918</v>
      </c>
    </row>
    <row r="24" spans="1:30" x14ac:dyDescent="0.2">
      <c r="A24" s="9">
        <v>3</v>
      </c>
      <c r="B24" s="6">
        <v>88.9</v>
      </c>
      <c r="C24" s="5" t="s">
        <v>9</v>
      </c>
      <c r="D24" s="7">
        <v>7.62</v>
      </c>
      <c r="E24" s="8">
        <v>100</v>
      </c>
      <c r="F24" s="8">
        <f t="shared" si="0"/>
        <v>149.89739133235966</v>
      </c>
      <c r="G24" s="8">
        <f>(3.14*(B24+E24)*E24*Input!C$2/1000000)*9.81</f>
        <v>116.37524520000004</v>
      </c>
      <c r="H24" s="8">
        <f>((3.14*(B24-2*D24)^2)/4*Input!C$3/1000000)*9.81</f>
        <v>41.783238046260017</v>
      </c>
      <c r="I24" s="8">
        <f>(Input!C$8/1067)*'Bare+Vapour'!B24</f>
        <v>1.3747422680412373</v>
      </c>
      <c r="J24" s="142">
        <f t="shared" si="1"/>
        <v>162.15605813760931</v>
      </c>
      <c r="K24" s="11">
        <f>(Input!C$9*(Input!C$7+I24)*D24^2)/(0.644*F24*((B24/2)*D24)^0.5)</f>
        <v>221.98375725313963</v>
      </c>
      <c r="L24" s="11">
        <f>((384*Input!$C$4*$J24*Input!$C$5)/(5*$F24*100000))^(1/4)</f>
        <v>5.4424075504807066</v>
      </c>
      <c r="M24" s="11">
        <f>((160*Input!$C$6*$J24)/(B24*$F24))^0.5</f>
        <v>8.1361345338291127</v>
      </c>
      <c r="N24" s="11">
        <f>((384*Input!$C$4*$J24*Input!$C$5)/(($F24*100000)))^(1/4)</f>
        <v>8.1382974975204903</v>
      </c>
      <c r="O24" s="11">
        <f>((240*Input!$C$6*$J24)/($B24*$F24))^0.5</f>
        <v>9.9646890432592024</v>
      </c>
      <c r="P24" s="11">
        <f>((185*Input!$G$4*($J24/(2.54)^4)*(Input!$G$5))/($F24*0.00571))^(1/4)*25.4/1000</f>
        <v>6.7802885891064992</v>
      </c>
      <c r="Q24" s="11">
        <f>(((16*Input!$G$6*($J24/(2.54)^4))/(($B24/25.4)*($F24*0.00571)))^0.5)*25.4/1000</f>
        <v>8.1363028264443944</v>
      </c>
      <c r="R24" s="11">
        <f>((384*Input!$G$4*($J24/(2.54)^4)*(Input!$G$5))/($F24*0.00571))^(1/4)*25.4/1000</f>
        <v>8.1383816657629016</v>
      </c>
      <c r="S24" s="11">
        <f>(((24*Input!$G$6*($J24/(2.54)^4))/(($B24/25.4)*($F24*0.00571)))^0.5)*25.4/1000</f>
        <v>9.9648951587766632</v>
      </c>
      <c r="T24" s="11">
        <f>((Input!$G$4*($J24/(2.54)^4)*(Input!$G$5))/(17.1*$F24*0.06854))^(1/4)*0.3048</f>
        <v>5.8285492095355682</v>
      </c>
      <c r="U24" s="11">
        <f>(((20*Input!$G$6*($J24/(2.54)^4))/(($B24/25.4)*($F24*0.00571)))^0.5)*25.4/1000</f>
        <v>9.0966631027266711</v>
      </c>
      <c r="V24" s="11">
        <f>((384*Input!$C$4*$J24*Input!$C$5)/(3*$F24*100000))^(1/4)</f>
        <v>6.1837688590651227</v>
      </c>
      <c r="W24" s="11">
        <f>(((200*Input!$C$6*($J24))/($B24*($F24)))^0.5)</f>
        <v>9.0964749458627274</v>
      </c>
      <c r="X24" s="11">
        <f t="shared" si="2"/>
        <v>5.4424075504807066</v>
      </c>
      <c r="Y24" s="26">
        <v>8</v>
      </c>
      <c r="Z24" s="26">
        <v>6.4</v>
      </c>
      <c r="AA24" s="26">
        <v>9.5</v>
      </c>
      <c r="AB24" s="32">
        <f t="shared" ref="AB24:AB37" si="6">Z24/MIN(L24:W24)</f>
        <v>1.1759501545294442</v>
      </c>
      <c r="AC24" s="32">
        <f t="shared" si="3"/>
        <v>1.4699376931618051</v>
      </c>
      <c r="AD24" s="32">
        <f t="shared" si="4"/>
        <v>0.98300658122136408</v>
      </c>
    </row>
    <row r="25" spans="1:30" x14ac:dyDescent="0.2">
      <c r="A25" s="9">
        <v>4</v>
      </c>
      <c r="B25" s="6">
        <v>114.3</v>
      </c>
      <c r="C25" s="5" t="s">
        <v>9</v>
      </c>
      <c r="D25" s="7">
        <v>8.56</v>
      </c>
      <c r="E25" s="8">
        <v>100</v>
      </c>
      <c r="F25" s="8">
        <f t="shared" si="0"/>
        <v>219.06272178797479</v>
      </c>
      <c r="G25" s="8">
        <f>(3.14*(B25+E25)*E25*Input!C$2/1000000)*9.81</f>
        <v>132.02337240000003</v>
      </c>
      <c r="H25" s="8">
        <f>((3.14*(B25-2*D25)^2)/4*Input!C$3/1000000)*9.81</f>
        <v>72.726460839539996</v>
      </c>
      <c r="I25" s="8">
        <f>(Input!C$8/1067)*'Bare+Vapour'!B25</f>
        <v>1.7675257731958762</v>
      </c>
      <c r="J25" s="142">
        <f t="shared" si="1"/>
        <v>400.17990346454081</v>
      </c>
      <c r="K25" s="11">
        <f>(Input!C$9*(Input!C$7+I25)*D25^2)/(0.644*F25*((B25/2)*D25)^0.5)</f>
        <v>160.11506702636976</v>
      </c>
      <c r="L25" s="11">
        <f>((384*Input!$C$4*$J25*Input!$C$5)/(5*$F25*100000))^(1/4)</f>
        <v>6.2040884885356506</v>
      </c>
      <c r="M25" s="11">
        <f>((160*Input!$C$6*$J25)/(B25*$F25))^0.5</f>
        <v>9.3243750267029544</v>
      </c>
      <c r="N25" s="11">
        <f>((384*Input!$C$4*$J25*Input!$C$5)/(($F25*100000)))^(1/4)</f>
        <v>9.2772761599203903</v>
      </c>
      <c r="O25" s="11">
        <f>((240*Input!$C$6*$J25)/($B25*$F25))^0.5</f>
        <v>11.419980492886253</v>
      </c>
      <c r="P25" s="11">
        <f>((185*Input!$G$4*($J25/(2.54)^4)*(Input!$G$5))/($F25*0.00571))^(1/4)*25.4/1000</f>
        <v>7.7292099120562536</v>
      </c>
      <c r="Q25" s="11">
        <f>(((16*Input!$G$6*($J25/(2.54)^4))/(($B25/25.4)*($F25*0.00571)))^0.5)*25.4/1000</f>
        <v>9.3245678975868618</v>
      </c>
      <c r="R25" s="11">
        <f>((384*Input!$G$4*($J25/(2.54)^4)*(Input!$G$5))/($F25*0.00571))^(1/4)*25.4/1000</f>
        <v>9.2773721077557916</v>
      </c>
      <c r="S25" s="11">
        <f>(((24*Input!$G$6*($J25/(2.54)^4))/(($B25/25.4)*($F25*0.00571)))^0.5)*25.4/1000</f>
        <v>11.420216710512161</v>
      </c>
      <c r="T25" s="11">
        <f>((Input!$G$4*($J25/(2.54)^4)*(Input!$G$5))/(17.1*$F25*0.06854))^(1/4)*0.3048</f>
        <v>6.6442718080804619</v>
      </c>
      <c r="U25" s="11">
        <f>(((20*Input!$G$6*($J25/(2.54)^4))/(($B25/25.4)*($F25*0.00571)))^0.5)*25.4/1000</f>
        <v>10.425183839908261</v>
      </c>
      <c r="V25" s="11">
        <f>((384*Input!$C$4*$J25*Input!$C$5)/(3*$F25*100000))^(1/4)</f>
        <v>7.049205491952284</v>
      </c>
      <c r="W25" s="11">
        <f>(((200*Input!$C$6*($J25))/($B25*($F25)))^0.5)</f>
        <v>10.42496820370461</v>
      </c>
      <c r="X25" s="11">
        <f t="shared" si="2"/>
        <v>6.2040884885356506</v>
      </c>
      <c r="Y25" s="26">
        <v>9</v>
      </c>
      <c r="Z25" s="26">
        <v>7.3</v>
      </c>
      <c r="AA25" s="26"/>
      <c r="AB25" s="32">
        <f t="shared" si="6"/>
        <v>1.1766434365804825</v>
      </c>
      <c r="AC25" s="32">
        <f t="shared" si="3"/>
        <v>1.4506562916745676</v>
      </c>
      <c r="AD25" s="32">
        <f t="shared" si="4"/>
        <v>0.97011233091041571</v>
      </c>
    </row>
    <row r="26" spans="1:30" x14ac:dyDescent="0.2">
      <c r="A26" s="9">
        <v>6</v>
      </c>
      <c r="B26" s="6">
        <v>168.27</v>
      </c>
      <c r="C26" s="5" t="s">
        <v>9</v>
      </c>
      <c r="D26" s="7">
        <v>10.97</v>
      </c>
      <c r="E26" s="8">
        <v>100</v>
      </c>
      <c r="F26" s="8">
        <f t="shared" si="0"/>
        <v>417.62910626931779</v>
      </c>
      <c r="G26" s="8">
        <f>(3.14*(B26+E26)*E26*Input!C$2/1000000)*9.81</f>
        <v>165.27256236000002</v>
      </c>
      <c r="H26" s="8">
        <f>((3.14*(B26-2*D26)^2)/4*Input!C$3/1000000)*9.81</f>
        <v>164.89421112856505</v>
      </c>
      <c r="I26" s="8">
        <f>(Input!C$8/1067)*'Bare+Vapour'!B26</f>
        <v>2.6021134020618559</v>
      </c>
      <c r="J26" s="142">
        <f t="shared" si="1"/>
        <v>1685.4918533955984</v>
      </c>
      <c r="K26" s="11">
        <f>(Input!C$9*(Input!C$7+I26)*D26^2)/(0.644*F26*((B26/2)*D26)^0.5)</f>
        <v>101.24558051607738</v>
      </c>
      <c r="L26" s="11">
        <f>((384*Input!$C$4*$J26*Input!$C$5)/(5*$F26*100000))^(1/4)</f>
        <v>7.5638038746471397</v>
      </c>
      <c r="M26" s="11">
        <f>((160*Input!$C$6*$J26)/(B26*$F26))^0.5</f>
        <v>11.422575885672535</v>
      </c>
      <c r="N26" s="11">
        <f>((384*Input!$C$4*$J26*Input!$C$5)/(($F26*100000)))^(1/4)</f>
        <v>11.310524905349949</v>
      </c>
      <c r="O26" s="11">
        <f>((240*Input!$C$6*$J26)/($B26*$F26))^0.5</f>
        <v>13.989741234058675</v>
      </c>
      <c r="P26" s="11">
        <f>((185*Input!$G$4*($J26/(2.54)^4)*(Input!$G$5))/($F26*0.00571))^(1/4)*25.4/1000</f>
        <v>9.4231776333949444</v>
      </c>
      <c r="Q26" s="11">
        <f>(((16*Input!$G$6*($J26/(2.54)^4))/(($B26/25.4)*($F26*0.00571)))^0.5)*25.4/1000</f>
        <v>11.422812156983079</v>
      </c>
      <c r="R26" s="11">
        <f>((384*Input!$G$4*($J26/(2.54)^4)*(Input!$G$5))/($F26*0.00571))^(1/4)*25.4/1000</f>
        <v>11.310641881535977</v>
      </c>
      <c r="S26" s="11">
        <f>(((24*Input!$G$6*($J26/(2.54)^4))/(($B26/25.4)*($F26*0.00571)))^0.5)*25.4/1000</f>
        <v>13.990030606134521</v>
      </c>
      <c r="T26" s="11">
        <f>((Input!$G$4*($J26/(2.54)^4)*(Input!$G$5))/(17.1*$F26*0.06854))^(1/4)*0.3048</f>
        <v>8.1004597112104779</v>
      </c>
      <c r="U26" s="11">
        <f>(((20*Input!$G$6*($J26/(2.54)^4))/(($B26/25.4)*($F26*0.00571)))^0.5)*25.4/1000</f>
        <v>12.771092238612582</v>
      </c>
      <c r="V26" s="11">
        <f>((384*Input!$C$4*$J26*Input!$C$5)/(3*$F26*100000))^(1/4)</f>
        <v>8.5941404465359934</v>
      </c>
      <c r="W26" s="11">
        <f>(((200*Input!$C$6*($J26))/($B26*($F26)))^0.5)</f>
        <v>12.770828079256827</v>
      </c>
      <c r="X26" s="11">
        <f t="shared" si="2"/>
        <v>7.5638038746471397</v>
      </c>
      <c r="Y26" s="26">
        <v>10.5</v>
      </c>
      <c r="Z26" s="26">
        <v>8.9</v>
      </c>
      <c r="AA26" s="26"/>
      <c r="AB26" s="32">
        <f t="shared" si="6"/>
        <v>1.1766566330245039</v>
      </c>
      <c r="AC26" s="32">
        <f t="shared" si="3"/>
        <v>1.3881904097480102</v>
      </c>
      <c r="AD26" s="32">
        <f t="shared" si="4"/>
        <v>0.92833887798022841</v>
      </c>
    </row>
    <row r="27" spans="1:30" x14ac:dyDescent="0.2">
      <c r="A27" s="9">
        <v>8</v>
      </c>
      <c r="B27" s="6">
        <v>219.07</v>
      </c>
      <c r="C27" s="10" t="s">
        <v>10</v>
      </c>
      <c r="D27" s="8">
        <v>12.7</v>
      </c>
      <c r="E27" s="8">
        <v>120</v>
      </c>
      <c r="F27" s="8">
        <f t="shared" si="0"/>
        <v>634.3160402161061</v>
      </c>
      <c r="G27" s="8">
        <f>(3.14*(B27+E27)*E27*Input!C$2/1000000)*9.81</f>
        <v>250.66821211200005</v>
      </c>
      <c r="H27" s="8">
        <f>((3.14*(B27-2*D27)^2)/4*Input!C$3/1000000)*9.81</f>
        <v>288.84401238856503</v>
      </c>
      <c r="I27" s="8">
        <f>(Input!C$8/1067)*'Bare+Vapour'!B27</f>
        <v>3.3876804123711342</v>
      </c>
      <c r="J27" s="142">
        <f t="shared" si="1"/>
        <v>4401.6125316967582</v>
      </c>
      <c r="K27" s="11">
        <f>(Input!C$9*(Input!C$7+I27)*D27^2)/(0.644*F27*((B27/2)*D27)^0.5)</f>
        <v>73.32991109216016</v>
      </c>
      <c r="L27" s="11">
        <f>((384*Input!$C$4*$J27*Input!$C$5)/(5*$F27*100000))^(1/4)</f>
        <v>8.6612946563470032</v>
      </c>
      <c r="M27" s="11">
        <f>((160*Input!$C$6*$J27)/(B27*$F27))^0.5</f>
        <v>13.126866050309756</v>
      </c>
      <c r="N27" s="11">
        <f>((384*Input!$C$4*$J27*Input!$C$5)/(($F27*100000)))^(1/4)</f>
        <v>12.951656408166365</v>
      </c>
      <c r="O27" s="11">
        <f>((240*Input!$C$6*$J27)/($B27*$F27))^0.5</f>
        <v>16.077061872561238</v>
      </c>
      <c r="P27" s="11">
        <f>((185*Input!$G$4*($J27/(2.54)^4)*(Input!$G$5))/($F27*0.00571))^(1/4)*25.4/1000</f>
        <v>10.790459329002603</v>
      </c>
      <c r="Q27" s="11">
        <f>(((16*Input!$G$6*($J27/(2.54)^4))/(($B27/25.4)*($F27*0.00571)))^0.5)*25.4/1000</f>
        <v>13.12713757416533</v>
      </c>
      <c r="R27" s="11">
        <f>((384*Input!$G$4*($J27/(2.54)^4)*(Input!$G$5))/($F27*0.00571))^(1/4)*25.4/1000</f>
        <v>12.951790357331589</v>
      </c>
      <c r="S27" s="11">
        <f>(((24*Input!$G$6*($J27/(2.54)^4))/(($B27/25.4)*($F27*0.00571)))^0.5)*25.4/1000</f>
        <v>16.077394420010812</v>
      </c>
      <c r="T27" s="11">
        <f>((Input!$G$4*($J27/(2.54)^4)*(Input!$G$5))/(17.1*$F27*0.06854))^(1/4)*0.3048</f>
        <v>9.2758180372484293</v>
      </c>
      <c r="U27" s="11">
        <f>(((20*Input!$G$6*($J27/(2.54)^4))/(($B27/25.4)*($F27*0.00571)))^0.5)*25.4/1000</f>
        <v>14.676585982912682</v>
      </c>
      <c r="V27" s="11">
        <f>((384*Input!$C$4*$J27*Input!$C$5)/(3*$F27*100000))^(1/4)</f>
        <v>9.8411307272229287</v>
      </c>
      <c r="W27" s="11">
        <f>(((200*Input!$C$6*($J27))/($B27*($F27)))^0.5)</f>
        <v>14.676282410013394</v>
      </c>
      <c r="X27" s="11">
        <f t="shared" si="2"/>
        <v>8.6612946563470032</v>
      </c>
      <c r="Y27" s="26">
        <v>12</v>
      </c>
      <c r="Z27" s="26">
        <v>10.25</v>
      </c>
      <c r="AA27" s="26"/>
      <c r="AB27" s="32">
        <f t="shared" si="6"/>
        <v>1.1834258510635927</v>
      </c>
      <c r="AC27" s="32">
        <f t="shared" si="3"/>
        <v>1.3854741670988402</v>
      </c>
      <c r="AD27" s="32">
        <f t="shared" si="4"/>
        <v>0.9265224170426325</v>
      </c>
    </row>
    <row r="28" spans="1:30" x14ac:dyDescent="0.2">
      <c r="A28" s="9">
        <v>10</v>
      </c>
      <c r="B28" s="6">
        <v>273.05</v>
      </c>
      <c r="C28" s="10" t="s">
        <v>10</v>
      </c>
      <c r="D28" s="8">
        <v>12.7</v>
      </c>
      <c r="E28" s="8">
        <v>120</v>
      </c>
      <c r="F28" s="8">
        <f t="shared" si="0"/>
        <v>800.23346935244081</v>
      </c>
      <c r="G28" s="8">
        <f>(3.14*(B28+E28)*E28*Input!C$2/1000000)*9.81</f>
        <v>290.57463288000002</v>
      </c>
      <c r="H28" s="8">
        <f>((3.14*(B28-2*D28)^2)/4*Input!C$3/1000000)*9.81</f>
        <v>472.29715419412514</v>
      </c>
      <c r="I28" s="8">
        <f>(Input!C$8/1067)*'Bare+Vapour'!B28</f>
        <v>4.2224226804123717</v>
      </c>
      <c r="J28" s="142">
        <f t="shared" si="1"/>
        <v>8825.4206848138547</v>
      </c>
      <c r="K28" s="11">
        <f>(Input!C$9*(Input!C$7+I28)*D28^2)/(0.644*F28*((B28/2)*D28)^0.5)</f>
        <v>52.484719059949036</v>
      </c>
      <c r="L28" s="11">
        <f>((384*Input!$C$4*$J28*Input!$C$5)/(5*$F28*100000))^(1/4)</f>
        <v>9.7249182835117924</v>
      </c>
      <c r="M28" s="11">
        <f>((160*Input!$C$6*$J28)/(B28*$F28))^0.5</f>
        <v>14.823054717267924</v>
      </c>
      <c r="N28" s="11">
        <f>((384*Input!$C$4*$J28*Input!$C$5)/(($F28*100000)))^(1/4)</f>
        <v>14.54214470272532</v>
      </c>
      <c r="O28" s="11">
        <f>((240*Input!$C$6*$J28)/($B28*$F28))^0.5</f>
        <v>18.154460243330792</v>
      </c>
      <c r="P28" s="11">
        <f>((185*Input!$G$4*($J28/(2.54)^4)*(Input!$G$5))/($F28*0.00571))^(1/4)*25.4/1000</f>
        <v>12.115548469328465</v>
      </c>
      <c r="Q28" s="11">
        <f>(((16*Input!$G$6*($J28/(2.54)^4))/(($B28/25.4)*($F28*0.00571)))^0.5)*25.4/1000</f>
        <v>14.823361326092359</v>
      </c>
      <c r="R28" s="11">
        <f>((384*Input!$G$4*($J28/(2.54)^4)*(Input!$G$5))/($F28*0.00571))^(1/4)*25.4/1000</f>
        <v>14.542295101105427</v>
      </c>
      <c r="S28" s="11">
        <f>(((24*Input!$G$6*($J28/(2.54)^4))/(($B28/25.4)*($F28*0.00571)))^0.5)*25.4/1000</f>
        <v>18.15483576091604</v>
      </c>
      <c r="T28" s="11">
        <f>((Input!$G$4*($J28/(2.54)^4)*(Input!$G$5))/(17.1*$F28*0.06854))^(1/4)*0.3048</f>
        <v>10.41490631644338</v>
      </c>
      <c r="U28" s="11">
        <f>(((20*Input!$G$6*($J28/(2.54)^4))/(($B28/25.4)*($F28*0.00571)))^0.5)*25.4/1000</f>
        <v>16.573021790091971</v>
      </c>
      <c r="V28" s="11">
        <f>((384*Input!$C$4*$J28*Input!$C$5)/(3*$F28*100000))^(1/4)</f>
        <v>11.04964049103997</v>
      </c>
      <c r="W28" s="11">
        <f>(((200*Input!$C$6*($J28))/($B28*($F28)))^0.5)</f>
        <v>16.572678991005002</v>
      </c>
      <c r="X28" s="11">
        <f t="shared" si="2"/>
        <v>9.7249182835117924</v>
      </c>
      <c r="Y28" s="26">
        <v>14</v>
      </c>
      <c r="Z28" s="26">
        <v>11.4</v>
      </c>
      <c r="AA28" s="26"/>
      <c r="AB28" s="32">
        <f t="shared" si="6"/>
        <v>1.1722463539182886</v>
      </c>
      <c r="AC28" s="32">
        <f t="shared" si="3"/>
        <v>1.4396007855136876</v>
      </c>
      <c r="AD28" s="32">
        <f t="shared" si="4"/>
        <v>0.96271906834872045</v>
      </c>
    </row>
    <row r="29" spans="1:30" x14ac:dyDescent="0.2">
      <c r="A29" s="9">
        <v>12</v>
      </c>
      <c r="B29" s="6">
        <v>323.85000000000002</v>
      </c>
      <c r="C29" s="10" t="s">
        <v>10</v>
      </c>
      <c r="D29" s="8">
        <v>12.7</v>
      </c>
      <c r="E29" s="8">
        <v>120</v>
      </c>
      <c r="F29" s="8">
        <f t="shared" si="0"/>
        <v>956.37658532364799</v>
      </c>
      <c r="G29" s="8">
        <f>(3.14*(B29+E29)*E29*Input!C$2/1000000)*9.81</f>
        <v>328.13013816000006</v>
      </c>
      <c r="H29" s="8">
        <f>((3.14*(B29-2*D29)^2)/4*Input!C$3/1000000)*9.81</f>
        <v>685.93321079212524</v>
      </c>
      <c r="I29" s="8">
        <f>(Input!C$8/1067)*'Bare+Vapour'!B29</f>
        <v>5.0079896907216499</v>
      </c>
      <c r="J29" s="142">
        <f t="shared" si="1"/>
        <v>15054.377948930842</v>
      </c>
      <c r="K29" s="11">
        <f>(Input!C$9*(Input!C$7+I29)*D29^2)/(0.644*F29*((B29/2)*D29)^0.5)</f>
        <v>40.628517287939808</v>
      </c>
      <c r="L29" s="11">
        <f>((384*Input!$C$4*$J29*Input!$C$5)/(5*$F29*100000))^(1/4)</f>
        <v>10.629546951932328</v>
      </c>
      <c r="M29" s="11">
        <f>((160*Input!$C$6*$J29)/(B29*$F29))^0.5</f>
        <v>16.260894765957669</v>
      </c>
      <c r="N29" s="11">
        <f>((384*Input!$C$4*$J29*Input!$C$5)/(($F29*100000)))^(1/4)</f>
        <v>15.894880079505743</v>
      </c>
      <c r="O29" s="11">
        <f>((240*Input!$C$6*$J29)/($B29*$F29))^0.5</f>
        <v>19.915447468844992</v>
      </c>
      <c r="P29" s="11">
        <f>((185*Input!$G$4*($J29/(2.54)^4)*(Input!$G$5))/($F29*0.00571))^(1/4)*25.4/1000</f>
        <v>13.242557680045993</v>
      </c>
      <c r="Q29" s="11">
        <f>(((16*Input!$G$6*($J29/(2.54)^4))/(($B29/25.4)*($F29*0.00571)))^0.5)*25.4/1000</f>
        <v>16.261231115915461</v>
      </c>
      <c r="R29" s="11">
        <f>((384*Input!$G$4*($J29/(2.54)^4)*(Input!$G$5))/($F29*0.00571))^(1/4)*25.4/1000</f>
        <v>15.895044468202515</v>
      </c>
      <c r="S29" s="11">
        <f>(((24*Input!$G$6*($J29/(2.54)^4))/(($B29/25.4)*($F29*0.00571)))^0.5)*25.4/1000</f>
        <v>19.915859411730789</v>
      </c>
      <c r="T29" s="11">
        <f>((Input!$G$4*($J29/(2.54)^4)*(Input!$G$5))/(17.1*$F29*0.06854))^(1/4)*0.3048</f>
        <v>11.383718861505358</v>
      </c>
      <c r="U29" s="11">
        <f>(((20*Input!$G$6*($J29/(2.54)^4))/(($B29/25.4)*($F29*0.00571)))^0.5)*25.4/1000</f>
        <v>18.180609086510863</v>
      </c>
      <c r="V29" s="11">
        <f>((384*Input!$C$4*$J29*Input!$C$5)/(3*$F29*100000))^(1/4)</f>
        <v>12.077497103561088</v>
      </c>
      <c r="W29" s="11">
        <f>(((200*Input!$C$6*($J29))/($B29*($F29)))^0.5)</f>
        <v>18.180233035825943</v>
      </c>
      <c r="X29" s="11">
        <f t="shared" si="2"/>
        <v>10.629546951932328</v>
      </c>
      <c r="Y29" s="26">
        <v>15</v>
      </c>
      <c r="Z29" s="26">
        <v>12.5</v>
      </c>
      <c r="AA29" s="26"/>
      <c r="AB29" s="32">
        <f t="shared" si="6"/>
        <v>1.1759673348757018</v>
      </c>
      <c r="AC29" s="32">
        <f t="shared" si="3"/>
        <v>1.4111608018508421</v>
      </c>
      <c r="AD29" s="32">
        <f t="shared" si="4"/>
        <v>0.94370010500050472</v>
      </c>
    </row>
    <row r="30" spans="1:30" x14ac:dyDescent="0.2">
      <c r="A30" s="9">
        <v>14</v>
      </c>
      <c r="B30" s="6">
        <v>355.6</v>
      </c>
      <c r="C30" s="10" t="s">
        <v>10</v>
      </c>
      <c r="D30" s="8">
        <v>12.7</v>
      </c>
      <c r="E30" s="8">
        <v>120</v>
      </c>
      <c r="F30" s="8">
        <f t="shared" si="0"/>
        <v>1053.9660328056525</v>
      </c>
      <c r="G30" s="8">
        <f>(3.14*(B30+E30)*E30*Input!C$2/1000000)*9.81</f>
        <v>351.60232896000002</v>
      </c>
      <c r="H30" s="8">
        <f>((3.14*(B30-2*D30)^2)/4*Input!C$3/1000000)*9.81</f>
        <v>839.63938523400043</v>
      </c>
      <c r="I30" s="8">
        <f>(Input!C$8/1067)*'Bare+Vapour'!B30</f>
        <v>5.4989690721649493</v>
      </c>
      <c r="J30" s="142">
        <f t="shared" si="1"/>
        <v>20143.190758941117</v>
      </c>
      <c r="K30" s="11">
        <f>(Input!C$9*(Input!C$7+I30)*D30^2)/(0.644*F30*((B30/2)*D30)^0.5)</f>
        <v>35.346811148975348</v>
      </c>
      <c r="L30" s="11">
        <f>((384*Input!$C$4*$J30*Input!$C$5)/(5*$F30*100000))^(1/4)</f>
        <v>11.157880280224216</v>
      </c>
      <c r="M30" s="11">
        <f>((160*Input!$C$6*$J30)/(B30*$F30))^0.5</f>
        <v>17.098948298715754</v>
      </c>
      <c r="N30" s="11">
        <f>((384*Input!$C$4*$J30*Input!$C$5)/(($F30*100000)))^(1/4)</f>
        <v>16.68492267804557</v>
      </c>
      <c r="O30" s="11">
        <f>((240*Input!$C$6*$J30)/($B30*$F30))^0.5</f>
        <v>20.941849235042056</v>
      </c>
      <c r="P30" s="11">
        <f>((185*Input!$G$4*($J30/(2.54)^4)*(Input!$G$5))/($F30*0.00571))^(1/4)*25.4/1000</f>
        <v>13.900768665503296</v>
      </c>
      <c r="Q30" s="11">
        <f>(((16*Input!$G$6*($J30/(2.54)^4))/(($B30/25.4)*($F30*0.00571)))^0.5)*25.4/1000</f>
        <v>17.099301983468116</v>
      </c>
      <c r="R30" s="11">
        <f>((384*Input!$G$4*($J30/(2.54)^4)*(Input!$G$5))/($F30*0.00571))^(1/4)*25.4/1000</f>
        <v>16.685095237554112</v>
      </c>
      <c r="S30" s="11">
        <f>(((24*Input!$G$6*($J30/(2.54)^4))/(($B30/25.4)*($F30*0.00571)))^0.5)*25.4/1000</f>
        <v>20.942282408628607</v>
      </c>
      <c r="T30" s="11">
        <f>((Input!$G$4*($J30/(2.54)^4)*(Input!$G$5))/(17.1*$F30*0.06854))^(1/4)*0.3048</f>
        <v>11.949537715463654</v>
      </c>
      <c r="U30" s="11">
        <f>(((20*Input!$G$6*($J30/(2.54)^4))/(($B30/25.4)*($F30*0.00571)))^0.5)*25.4/1000</f>
        <v>19.117600801415847</v>
      </c>
      <c r="V30" s="11">
        <f>((384*Input!$C$4*$J30*Input!$C$5)/(3*$F30*100000))^(1/4)</f>
        <v>12.677799663116563</v>
      </c>
      <c r="W30" s="11">
        <f>(((200*Input!$C$6*($J30))/($B30*($F30)))^0.5)</f>
        <v>19.117205369841404</v>
      </c>
      <c r="X30" s="11">
        <f t="shared" si="2"/>
        <v>11.157880280224216</v>
      </c>
      <c r="Y30" s="26">
        <v>16</v>
      </c>
      <c r="Z30" s="26">
        <v>13</v>
      </c>
      <c r="AA30" s="26"/>
      <c r="AB30" s="32">
        <f t="shared" si="6"/>
        <v>1.1650958491677568</v>
      </c>
      <c r="AC30" s="32">
        <f t="shared" si="3"/>
        <v>1.4339641220526236</v>
      </c>
      <c r="AD30" s="32">
        <f t="shared" si="4"/>
        <v>0.95894960430671894</v>
      </c>
    </row>
    <row r="31" spans="1:30" x14ac:dyDescent="0.2">
      <c r="A31" s="9">
        <v>16</v>
      </c>
      <c r="B31" s="6">
        <v>406.4</v>
      </c>
      <c r="C31" s="10" t="s">
        <v>10</v>
      </c>
      <c r="D31" s="8">
        <v>12.7</v>
      </c>
      <c r="E31" s="8">
        <v>120</v>
      </c>
      <c r="F31" s="8">
        <f t="shared" si="0"/>
        <v>1210.1091487768615</v>
      </c>
      <c r="G31" s="8">
        <f>(3.14*(B31+E31)*E31*Input!C$2/1000000)*9.81</f>
        <v>389.15783424000006</v>
      </c>
      <c r="H31" s="8">
        <f>((3.14*(B31-2*D31)^2)/4*Input!C$3/1000000)*9.81</f>
        <v>1117.8630868500002</v>
      </c>
      <c r="I31" s="8">
        <f>(Input!C$8/1067)*'Bare+Vapour'!B31</f>
        <v>6.2845360824742267</v>
      </c>
      <c r="J31" s="142">
        <f t="shared" si="1"/>
        <v>30477.434541508992</v>
      </c>
      <c r="K31" s="11">
        <f>(Input!C$9*(Input!C$7+I31)*D31^2)/(0.644*F31*((B31/2)*D31)^0.5)</f>
        <v>29.012035611086123</v>
      </c>
      <c r="L31" s="11">
        <f>((384*Input!$C$4*$J31*Input!$C$5)/(5*$F31*100000))^(1/4)</f>
        <v>11.95486703824532</v>
      </c>
      <c r="M31" s="11">
        <f>((160*Input!$C$6*$J31)/(B31*$F31))^0.5</f>
        <v>18.361135332589754</v>
      </c>
      <c r="N31" s="11">
        <f>((384*Input!$C$4*$J31*Input!$C$5)/(($F31*100000)))^(1/4)</f>
        <v>17.876695855301886</v>
      </c>
      <c r="O31" s="11">
        <f>((240*Input!$C$6*$J31)/($B31*$F31))^0.5</f>
        <v>22.487706331516197</v>
      </c>
      <c r="P31" s="11">
        <f>((185*Input!$G$4*($J31/(2.54)^4)*(Input!$G$5))/($F31*0.00571))^(1/4)*25.4/1000</f>
        <v>14.893674869413392</v>
      </c>
      <c r="Q31" s="11">
        <f>(((16*Input!$G$6*($J31/(2.54)^4))/(($B31/25.4)*($F31*0.00571)))^0.5)*25.4/1000</f>
        <v>18.361515125164697</v>
      </c>
      <c r="R31" s="11">
        <f>((384*Input!$G$4*($J31/(2.54)^4)*(Input!$G$5))/($F31*0.00571))^(1/4)*25.4/1000</f>
        <v>17.876880740417057</v>
      </c>
      <c r="S31" s="11">
        <f>(((24*Input!$G$6*($J31/(2.54)^4))/(($B31/25.4)*($F31*0.00571)))^0.5)*25.4/1000</f>
        <v>22.488171480524553</v>
      </c>
      <c r="T31" s="11">
        <f>((Input!$G$4*($J31/(2.54)^4)*(Input!$G$5))/(17.1*$F31*0.06854))^(1/4)*0.3048</f>
        <v>12.803071100346585</v>
      </c>
      <c r="U31" s="11">
        <f>(((20*Input!$G$6*($J31/(2.54)^4))/(($B31/25.4)*($F31*0.00571)))^0.5)*25.4/1000</f>
        <v>20.528797994879412</v>
      </c>
      <c r="V31" s="11">
        <f>((384*Input!$C$4*$J31*Input!$C$5)/(3*$F31*100000))^(1/4)</f>
        <v>13.583351452398293</v>
      </c>
      <c r="W31" s="11">
        <f>(((200*Input!$C$6*($J31))/($B31*($F31)))^0.5)</f>
        <v>20.528373373871947</v>
      </c>
      <c r="X31" s="11">
        <f t="shared" si="2"/>
        <v>11.95486703824532</v>
      </c>
      <c r="Y31" s="26">
        <v>17</v>
      </c>
      <c r="Z31" s="26">
        <v>14</v>
      </c>
      <c r="AA31" s="26"/>
      <c r="AB31" s="32">
        <f t="shared" si="6"/>
        <v>1.1710711591531724</v>
      </c>
      <c r="AC31" s="32">
        <f t="shared" si="3"/>
        <v>1.4220149789717094</v>
      </c>
      <c r="AD31" s="32">
        <f t="shared" si="4"/>
        <v>0.95095873071858106</v>
      </c>
    </row>
    <row r="32" spans="1:30" x14ac:dyDescent="0.2">
      <c r="A32" s="9">
        <v>18</v>
      </c>
      <c r="B32" s="6">
        <v>457.2</v>
      </c>
      <c r="C32" s="10" t="s">
        <v>10</v>
      </c>
      <c r="D32" s="8">
        <v>12.7</v>
      </c>
      <c r="E32" s="8">
        <v>120</v>
      </c>
      <c r="F32" s="8">
        <f t="shared" si="0"/>
        <v>1366.2522647480682</v>
      </c>
      <c r="G32" s="8">
        <f>(3.14*(B32+E32)*E32*Input!C$2/1000000)*9.81</f>
        <v>426.71333952000003</v>
      </c>
      <c r="H32" s="8">
        <f>((3.14*(B32-2*D32)^2)/4*Input!C$3/1000000)*9.81</f>
        <v>1435.8330315540002</v>
      </c>
      <c r="I32" s="8">
        <f>(Input!C$8/1067)*'Bare+Vapour'!B32</f>
        <v>7.0701030927835049</v>
      </c>
      <c r="J32" s="142">
        <f t="shared" si="1"/>
        <v>43853.085513250306</v>
      </c>
      <c r="K32" s="11">
        <f>(Input!C$9*(Input!C$7+I32)*D32^2)/(0.644*F32*((B32/2)*D32)^0.5)</f>
        <v>24.405838310098542</v>
      </c>
      <c r="L32" s="11">
        <f>((384*Input!$C$4*$J32*Input!$C$5)/(5*$F32*100000))^(1/4)</f>
        <v>12.702043619658673</v>
      </c>
      <c r="M32" s="11">
        <f>((160*Input!$C$6*$J32)/(B32*$F32))^0.5</f>
        <v>19.542538196678407</v>
      </c>
      <c r="N32" s="11">
        <f>((384*Input!$C$4*$J32*Input!$C$5)/(($F32*100000)))^(1/4)</f>
        <v>18.993985445675374</v>
      </c>
      <c r="O32" s="11">
        <f>((240*Input!$C$6*$J32)/($B32*$F32))^0.5</f>
        <v>23.934623430356112</v>
      </c>
      <c r="P32" s="11">
        <f>((185*Input!$G$4*($J32/(2.54)^4)*(Input!$G$5))/($F32*0.00571))^(1/4)*25.4/1000</f>
        <v>15.824526299045319</v>
      </c>
      <c r="Q32" s="11">
        <f>(((16*Input!$G$6*($J32/(2.54)^4))/(($B32/25.4)*($F32*0.00571)))^0.5)*25.4/1000</f>
        <v>19.542942426088423</v>
      </c>
      <c r="R32" s="11">
        <f>((384*Input!$G$4*($J32/(2.54)^4)*(Input!$G$5))/($F32*0.00571))^(1/4)*25.4/1000</f>
        <v>18.99418188606991</v>
      </c>
      <c r="S32" s="11">
        <f>(((24*Input!$G$6*($J32/(2.54)^4))/(($B32/25.4)*($F32*0.00571)))^0.5)*25.4/1000</f>
        <v>23.935118508252895</v>
      </c>
      <c r="T32" s="11">
        <f>((Input!$G$4*($J32/(2.54)^4)*(Input!$G$5))/(17.1*$F32*0.06854))^(1/4)*0.3048</f>
        <v>13.603260250568464</v>
      </c>
      <c r="U32" s="11">
        <f>(((20*Input!$G$6*($J32/(2.54)^4))/(($B32/25.4)*($F32*0.00571)))^0.5)*25.4/1000</f>
        <v>21.849673872549189</v>
      </c>
      <c r="V32" s="11">
        <f>((384*Input!$C$4*$J32*Input!$C$5)/(3*$F32*100000))^(1/4)</f>
        <v>14.432307954371119</v>
      </c>
      <c r="W32" s="11">
        <f>(((200*Input!$C$6*($J32))/($B32*($F32)))^0.5)</f>
        <v>21.849221930329538</v>
      </c>
      <c r="X32" s="11">
        <f t="shared" si="2"/>
        <v>12.702043619658673</v>
      </c>
      <c r="Y32" s="26">
        <v>18</v>
      </c>
      <c r="Z32" s="26">
        <v>14.9</v>
      </c>
      <c r="AA32" s="26"/>
      <c r="AB32" s="32">
        <f t="shared" si="6"/>
        <v>1.1730395868692813</v>
      </c>
      <c r="AC32" s="32">
        <f t="shared" si="3"/>
        <v>1.4170948029293331</v>
      </c>
      <c r="AD32" s="32">
        <f t="shared" si="4"/>
        <v>0.94766841069146501</v>
      </c>
    </row>
    <row r="33" spans="1:31" x14ac:dyDescent="0.2">
      <c r="A33" s="9">
        <v>20</v>
      </c>
      <c r="B33" s="6">
        <v>508</v>
      </c>
      <c r="C33" s="10" t="s">
        <v>10</v>
      </c>
      <c r="D33" s="8">
        <v>12.7</v>
      </c>
      <c r="E33" s="8">
        <v>140</v>
      </c>
      <c r="F33" s="8">
        <f t="shared" si="0"/>
        <v>1522.3953807192772</v>
      </c>
      <c r="G33" s="8">
        <f>(3.14*(B33+E33)*E33*Input!C$2/1000000)*9.81</f>
        <v>558.89688960000001</v>
      </c>
      <c r="H33" s="8">
        <f>((3.14*(B33-2*D33)^2)/4*Input!C$3/1000000)*9.81</f>
        <v>1793.5492193460002</v>
      </c>
      <c r="I33" s="8">
        <f>(Input!C$8/1067)*'Bare+Vapour'!B33</f>
        <v>7.855670103092784</v>
      </c>
      <c r="J33" s="142">
        <f t="shared" si="1"/>
        <v>60662.583311477778</v>
      </c>
      <c r="K33" s="11">
        <f>(Input!C$9*(Input!C$7+I33)*D33^2)/(0.644*F33*((B33/2)*D33)^0.5)</f>
        <v>20.931154450220955</v>
      </c>
      <c r="L33" s="11">
        <f>((384*Input!$C$4*$J33*Input!$C$5)/(5*$F33*100000))^(1/4)</f>
        <v>13.407711157175395</v>
      </c>
      <c r="M33" s="11">
        <f>((160*Input!$C$6*$J33)/(B33*$F33))^0.5</f>
        <v>20.656860437075103</v>
      </c>
      <c r="N33" s="11">
        <f>((384*Input!$C$4*$J33*Input!$C$5)/(($F33*100000)))^(1/4)</f>
        <v>20.049204537848386</v>
      </c>
      <c r="O33" s="11">
        <f>((240*Input!$C$6*$J33)/($B33*$F33))^0.5</f>
        <v>25.299383879359553</v>
      </c>
      <c r="P33" s="11">
        <f>((185*Input!$G$4*($J33/(2.54)^4)*(Input!$G$5))/($F33*0.00571))^(1/4)*25.4/1000</f>
        <v>16.703664714893087</v>
      </c>
      <c r="Q33" s="11">
        <f>(((16*Input!$G$6*($J33/(2.54)^4))/(($B33/25.4)*($F33*0.00571)))^0.5)*25.4/1000</f>
        <v>20.657287715784921</v>
      </c>
      <c r="R33" s="11">
        <f>((384*Input!$G$4*($J33/(2.54)^4)*(Input!$G$5))/($F33*0.00571))^(1/4)*25.4/1000</f>
        <v>20.049411891574163</v>
      </c>
      <c r="S33" s="11">
        <f>(((24*Input!$G$6*($J33/(2.54)^4))/(($B33/25.4)*($F33*0.00571)))^0.5)*25.4/1000</f>
        <v>25.299907186768053</v>
      </c>
      <c r="T33" s="11">
        <f>((Input!$G$4*($J33/(2.54)^4)*(Input!$G$5))/(17.1*$F33*0.06854))^(1/4)*0.3048</f>
        <v>14.358995268543131</v>
      </c>
      <c r="U33" s="11">
        <f>(((20*Input!$G$6*($J33/(2.54)^4))/(($B33/25.4)*($F33*0.00571)))^0.5)*25.4/1000</f>
        <v>23.09554978163322</v>
      </c>
      <c r="V33" s="11">
        <f>((384*Input!$C$4*$J33*Input!$C$5)/(3*$F33*100000))^(1/4)</f>
        <v>15.23410107678505</v>
      </c>
      <c r="W33" s="11">
        <f>(((200*Input!$C$6*($J33))/($B33*($F33)))^0.5)</f>
        <v>23.095072069512977</v>
      </c>
      <c r="X33" s="11">
        <f t="shared" si="2"/>
        <v>13.407711157175395</v>
      </c>
      <c r="Y33" s="26">
        <v>19</v>
      </c>
      <c r="Z33" s="26">
        <v>15.6</v>
      </c>
      <c r="AA33" s="26"/>
      <c r="AB33" s="32">
        <f t="shared" si="6"/>
        <v>1.1635095518634706</v>
      </c>
      <c r="AC33" s="32">
        <f t="shared" si="3"/>
        <v>1.4170949670132014</v>
      </c>
      <c r="AD33" s="32">
        <f t="shared" si="4"/>
        <v>0.94766852042096117</v>
      </c>
    </row>
    <row r="34" spans="1:31" x14ac:dyDescent="0.2">
      <c r="A34" s="9">
        <v>24</v>
      </c>
      <c r="B34" s="6">
        <v>609.6</v>
      </c>
      <c r="C34" s="10" t="s">
        <v>10</v>
      </c>
      <c r="D34" s="8">
        <v>12.7</v>
      </c>
      <c r="E34" s="8">
        <v>140</v>
      </c>
      <c r="F34" s="8">
        <f t="shared" si="0"/>
        <v>1834.6816126616918</v>
      </c>
      <c r="G34" s="8">
        <f>(3.14*(B34+E34)*E34*Input!C$2/1000000)*9.81</f>
        <v>646.52640192000013</v>
      </c>
      <c r="H34" s="8">
        <f>((3.14*(B34-2*D34)^2)/4*Input!C$3/1000000)*9.81</f>
        <v>2628.2203241940006</v>
      </c>
      <c r="I34" s="8">
        <f>(Input!C$8/1067)*'Bare+Vapour'!B34</f>
        <v>9.4268041237113405</v>
      </c>
      <c r="J34" s="142">
        <f t="shared" si="1"/>
        <v>106152.87793664199</v>
      </c>
      <c r="K34" s="11">
        <f>(Input!C$9*(Input!C$7+I34)*D34^2)/(0.644*F34*((B34/2)*D34)^0.5)</f>
        <v>16.086073271553687</v>
      </c>
      <c r="L34" s="11">
        <f>((384*Input!$C$4*$J34*Input!$C$5)/(5*$F34*100000))^(1/4)</f>
        <v>14.718008543100652</v>
      </c>
      <c r="M34" s="11">
        <f>((160*Input!$C$6*$J34)/(B34*$F34))^0.5</f>
        <v>22.722834373720623</v>
      </c>
      <c r="N34" s="11">
        <f>((384*Input!$C$4*$J34*Input!$C$5)/(($F34*100000)))^(1/4)</f>
        <v>22.008556136929077</v>
      </c>
      <c r="O34" s="11">
        <f>((240*Input!$C$6*$J34)/($B34*$F34))^0.5</f>
        <v>27.829674862694844</v>
      </c>
      <c r="P34" s="11">
        <f>((185*Input!$G$4*($J34/(2.54)^4)*(Input!$G$5))/($F34*0.00571))^(1/4)*25.4/1000</f>
        <v>18.336066245230587</v>
      </c>
      <c r="Q34" s="11">
        <f>(((16*Input!$G$6*($J34/(2.54)^4))/(($B34/25.4)*($F34*0.00571)))^0.5)*25.4/1000</f>
        <v>22.723304386256373</v>
      </c>
      <c r="R34" s="11">
        <f>((384*Input!$G$4*($J34/(2.54)^4)*(Input!$G$5))/($F34*0.00571))^(1/4)*25.4/1000</f>
        <v>22.008783754743302</v>
      </c>
      <c r="S34" s="11">
        <f>(((24*Input!$G$6*($J34/(2.54)^4))/(($B34/25.4)*($F34*0.00571)))^0.5)*25.4/1000</f>
        <v>27.830250508137492</v>
      </c>
      <c r="T34" s="11">
        <f>((Input!$G$4*($J34/(2.54)^4)*(Input!$G$5))/(17.1*$F34*0.06854))^(1/4)*0.3048</f>
        <v>15.762258938555611</v>
      </c>
      <c r="U34" s="11">
        <f>(((20*Input!$G$6*($J34/(2.54)^4))/(($B34/25.4)*($F34*0.00571)))^0.5)*25.4/1000</f>
        <v>25.405426640544192</v>
      </c>
      <c r="V34" s="11">
        <f>((384*Input!$C$4*$J34*Input!$C$5)/(3*$F34*100000))^(1/4)</f>
        <v>16.722886342505067</v>
      </c>
      <c r="W34" s="11">
        <f>(((200*Input!$C$6*($J34))/($B34*($F34)))^0.5)</f>
        <v>25.404901150554089</v>
      </c>
      <c r="X34" s="11">
        <f t="shared" si="2"/>
        <v>14.718008543100652</v>
      </c>
      <c r="Y34" s="26">
        <v>21</v>
      </c>
      <c r="Z34" s="26">
        <v>17.2</v>
      </c>
      <c r="AA34" s="26"/>
      <c r="AB34" s="32">
        <f t="shared" si="6"/>
        <v>1.1686363647385454</v>
      </c>
      <c r="AC34" s="32">
        <f t="shared" si="3"/>
        <v>1.426823468576131</v>
      </c>
      <c r="AD34" s="32">
        <f t="shared" si="4"/>
        <v>0.95417436152311796</v>
      </c>
    </row>
    <row r="35" spans="1:31" x14ac:dyDescent="0.2">
      <c r="A35" s="5">
        <v>1</v>
      </c>
      <c r="B35" s="6">
        <v>33.4</v>
      </c>
      <c r="C35" s="10" t="s">
        <v>5</v>
      </c>
      <c r="D35" s="7">
        <v>2.77</v>
      </c>
      <c r="E35" s="8">
        <v>40</v>
      </c>
      <c r="F35" s="8">
        <f t="shared" si="0"/>
        <v>20.53440741659238</v>
      </c>
      <c r="G35" s="8">
        <f>(3.14*(B35+E35)*E35*Input!C$2/1000000)*9.81</f>
        <v>18.087756480000003</v>
      </c>
      <c r="H35" s="8">
        <f>((3.14*(B35-2*D35)^2)/4*Input!C$3/1000000)*9.81</f>
        <v>5.9772426726600001</v>
      </c>
      <c r="I35" s="8">
        <f>(Input!C$8/1067)*'Bare+Vapour'!B35</f>
        <v>0.51649484536082479</v>
      </c>
      <c r="J35" s="142">
        <f t="shared" si="1"/>
        <v>3.1527162320150941</v>
      </c>
      <c r="K35" s="11">
        <f>(Input!C$9*(Input!C$7+I35)*D35^2)/(0.644*F35*((B35/2)*D35)^0.5)</f>
        <v>574.52047994610837</v>
      </c>
      <c r="L35" s="11">
        <f>((384*Input!$C$4*$J35*Input!$C$5)/(5*$F35*100000))^(1/4)</f>
        <v>3.340465275931086</v>
      </c>
      <c r="M35" s="11">
        <f>((160*Input!$C$6*$J35)/(B35*$F35))^0.5</f>
        <v>5.0006627999216482</v>
      </c>
      <c r="N35" s="11">
        <f>((384*Input!$C$4*$J35*Input!$C$5)/(($F35*100000)))^(1/4)</f>
        <v>4.995160679075358</v>
      </c>
      <c r="O35" s="11">
        <f>((240*Input!$C$6*$J35)/($B35*$F35))^0.5</f>
        <v>6.1245361177627426</v>
      </c>
      <c r="P35" s="11">
        <f>((185*Input!$G$4*($J35/(2.54)^4)*(Input!$G$5))/($F35*0.00571))^(1/4)*25.4/1000</f>
        <v>4.1616358904804036</v>
      </c>
      <c r="Q35" s="11">
        <f>(((16*Input!$G$6*($J35/(2.54)^4))/(($B35/25.4)*($F35*0.00571)))^0.5)*25.4/1000</f>
        <v>5.0007662365864736</v>
      </c>
      <c r="R35" s="11">
        <f>((384*Input!$G$4*($J35/(2.54)^4)*(Input!$G$5))/($F35*0.00571))^(1/4)*25.4/1000</f>
        <v>4.9952123402360629</v>
      </c>
      <c r="S35" s="11">
        <f>(((24*Input!$G$6*($J35/(2.54)^4))/(($B35/25.4)*($F35*0.00571)))^0.5)*25.4/1000</f>
        <v>6.124662801287502</v>
      </c>
      <c r="T35" s="11">
        <f>((Input!$G$4*($J35/(2.54)^4)*(Input!$G$5))/(17.1*$F35*0.06854))^(1/4)*0.3048</f>
        <v>3.577473032461421</v>
      </c>
      <c r="U35" s="11">
        <f>(((20*Input!$G$6*($J35/(2.54)^4))/(($B35/25.4)*($F35*0.00571)))^0.5)*25.4/1000</f>
        <v>5.5910266222965754</v>
      </c>
      <c r="V35" s="11">
        <f>((384*Input!$C$4*$J35*Input!$C$5)/(3*$F35*100000))^(1/4)</f>
        <v>3.7955013395250994</v>
      </c>
      <c r="W35" s="11">
        <f>(((200*Input!$C$6*($J35))/($B35*($F35)))^0.5)</f>
        <v>5.5909109765896181</v>
      </c>
      <c r="X35" s="11">
        <f t="shared" si="2"/>
        <v>3.340465275931086</v>
      </c>
      <c r="Y35" s="26">
        <v>4.5</v>
      </c>
      <c r="Z35" s="26">
        <v>3.8</v>
      </c>
      <c r="AA35" s="26">
        <v>5.7</v>
      </c>
      <c r="AB35" s="32">
        <f t="shared" si="6"/>
        <v>1.1375660831980443</v>
      </c>
      <c r="AC35" s="32">
        <f t="shared" si="3"/>
        <v>1.3471177301029473</v>
      </c>
      <c r="AD35" s="32">
        <f t="shared" si="4"/>
        <v>0.9008719216681903</v>
      </c>
    </row>
    <row r="36" spans="1:31" x14ac:dyDescent="0.2">
      <c r="A36" s="5">
        <v>1.5</v>
      </c>
      <c r="B36" s="6">
        <v>48.26</v>
      </c>
      <c r="C36" s="10" t="s">
        <v>5</v>
      </c>
      <c r="D36" s="7">
        <v>2.77</v>
      </c>
      <c r="E36" s="8">
        <v>50</v>
      </c>
      <c r="F36" s="8">
        <f t="shared" si="0"/>
        <v>30.496578301690736</v>
      </c>
      <c r="G36" s="8">
        <f>(3.14*(B36+E36)*E36*Input!C$2/1000000)*9.81</f>
        <v>30.267420839999996</v>
      </c>
      <c r="H36" s="8">
        <f>((3.14*(B36-2*D36)^2)/4*Input!C$3/1000000)*9.81</f>
        <v>14.054038928640001</v>
      </c>
      <c r="I36" s="8">
        <f>(Input!C$8/1067)*'Bare+Vapour'!B36</f>
        <v>0.74628865979381442</v>
      </c>
      <c r="J36" s="142">
        <f t="shared" si="1"/>
        <v>10.281623065656644</v>
      </c>
      <c r="K36" s="11">
        <f>(Input!C$9*(Input!C$7+I36)*D36^2)/(0.644*F36*((B36/2)*D36)^0.5)</f>
        <v>322.5580387897831</v>
      </c>
      <c r="L36" s="11">
        <f>((384*Input!$C$4*$J36*Input!$C$5)/(5*$F36*100000))^(1/4)</f>
        <v>4.0663890336130928</v>
      </c>
      <c r="M36" s="11">
        <f>((160*Input!$C$6*$J36)/(B36*$F36))^0.5</f>
        <v>6.1646875942565273</v>
      </c>
      <c r="N36" s="11">
        <f>((384*Input!$C$4*$J36*Input!$C$5)/(($F36*100000)))^(1/4)</f>
        <v>6.0806698853846752</v>
      </c>
      <c r="O36" s="11">
        <f>((240*Input!$C$6*$J36)/($B36*$F36))^0.5</f>
        <v>7.5501695147970347</v>
      </c>
      <c r="P36" s="11">
        <f>((185*Input!$G$4*($J36/(2.54)^4)*(Input!$G$5))/($F36*0.00571))^(1/4)*25.4/1000</f>
        <v>5.0660100162913011</v>
      </c>
      <c r="Q36" s="11">
        <f>(((16*Input!$G$6*($J36/(2.54)^4))/(($B36/25.4)*($F36*0.00571)))^0.5)*25.4/1000</f>
        <v>6.1648151082981562</v>
      </c>
      <c r="R36" s="11">
        <f>((384*Input!$G$4*($J36/(2.54)^4)*(Input!$G$5))/($F36*0.00571))^(1/4)*25.4/1000</f>
        <v>6.0807327731443195</v>
      </c>
      <c r="S36" s="11">
        <f>(((24*Input!$G$6*($J36/(2.54)^4))/(($B36/25.4)*($F36*0.00571)))^0.5)*25.4/1000</f>
        <v>7.5503256869655484</v>
      </c>
      <c r="T36" s="11">
        <f>((Input!$G$4*($J36/(2.54)^4)*(Input!$G$5))/(17.1*$F36*0.06854))^(1/4)*0.3048</f>
        <v>4.3549014600048235</v>
      </c>
      <c r="U36" s="11">
        <f>(((20*Input!$G$6*($J36/(2.54)^4))/(($B36/25.4)*($F36*0.00571)))^0.5)*25.4/1000</f>
        <v>6.8924728254362018</v>
      </c>
      <c r="V36" s="11">
        <f>((384*Input!$C$4*$J36*Input!$C$5)/(3*$F36*100000))^(1/4)</f>
        <v>4.6203099715822553</v>
      </c>
      <c r="W36" s="11">
        <f>(((200*Input!$C$6*($J36))/($B36*($F36)))^0.5)</f>
        <v>6.8923302604036181</v>
      </c>
      <c r="X36" s="11">
        <f t="shared" si="2"/>
        <v>4.0663890336130928</v>
      </c>
      <c r="Y36" s="26">
        <v>5.5</v>
      </c>
      <c r="Z36" s="26">
        <v>4.7</v>
      </c>
      <c r="AA36" s="26">
        <v>7</v>
      </c>
      <c r="AB36" s="32">
        <f t="shared" si="6"/>
        <v>1.1558166130071248</v>
      </c>
      <c r="AC36" s="32">
        <f t="shared" si="3"/>
        <v>1.3525513556466353</v>
      </c>
      <c r="AD36" s="32">
        <f t="shared" si="4"/>
        <v>0.90450560607140396</v>
      </c>
    </row>
    <row r="37" spans="1:31" x14ac:dyDescent="0.2">
      <c r="A37" s="5">
        <v>2</v>
      </c>
      <c r="B37" s="6">
        <v>60.32</v>
      </c>
      <c r="C37" s="10" t="s">
        <v>5</v>
      </c>
      <c r="D37" s="7">
        <v>2.77</v>
      </c>
      <c r="E37" s="8">
        <v>50</v>
      </c>
      <c r="F37" s="8">
        <f t="shared" si="0"/>
        <v>38.58162412095627</v>
      </c>
      <c r="G37" s="8">
        <f>(3.14*(B37+E37)*E37*Input!C$2/1000000)*9.81</f>
        <v>33.98231088</v>
      </c>
      <c r="H37" s="8">
        <f>((3.14*(B37-2*D37)^2)/4*Input!C$3/1000000)*9.81</f>
        <v>23.109083401140005</v>
      </c>
      <c r="I37" s="8">
        <f>(Input!C$8/1067)*'Bare+Vapour'!B37</f>
        <v>0.93278350515463926</v>
      </c>
      <c r="J37" s="142">
        <f t="shared" si="1"/>
        <v>20.78966420693579</v>
      </c>
      <c r="K37" s="11">
        <f>(Input!C$9*(Input!C$7+I37)*D37^2)/(0.644*F37*((B37/2)*D37)^0.5)</f>
        <v>228.47814548374194</v>
      </c>
      <c r="L37" s="11">
        <f>((384*Input!$C$4*$J37*Input!$C$5)/(5*$F37*100000))^(1/4)</f>
        <v>4.5721769177656473</v>
      </c>
      <c r="M37" s="11">
        <f>((160*Input!$C$6*$J37)/(B37*$F37))^0.5</f>
        <v>6.9711153331605535</v>
      </c>
      <c r="N37" s="11">
        <f>((384*Input!$C$4*$J37*Input!$C$5)/(($F37*100000)))^(1/4)</f>
        <v>6.8369991815086584</v>
      </c>
      <c r="O37" s="11">
        <f>((240*Input!$C$6*$J37)/($B37*$F37))^0.5</f>
        <v>8.5378377521676576</v>
      </c>
      <c r="P37" s="11">
        <f>((185*Input!$G$4*($J37/(2.54)^4)*(Input!$G$5))/($F37*0.00571))^(1/4)*25.4/1000</f>
        <v>5.696133318822179</v>
      </c>
      <c r="Q37" s="11">
        <f>(((16*Input!$G$6*($J37/(2.54)^4))/(($B37/25.4)*($F37*0.00571)))^0.5)*25.4/1000</f>
        <v>6.9712595278301457</v>
      </c>
      <c r="R37" s="11">
        <f>((384*Input!$G$4*($J37/(2.54)^4)*(Input!$G$5))/($F37*0.00571))^(1/4)*25.4/1000</f>
        <v>6.8370698914089347</v>
      </c>
      <c r="S37" s="11">
        <f>(((24*Input!$G$6*($J37/(2.54)^4))/(($B37/25.4)*($F37*0.00571)))^0.5)*25.4/1000</f>
        <v>8.5380143538497215</v>
      </c>
      <c r="T37" s="11">
        <f>((Input!$G$4*($J37/(2.54)^4)*(Input!$G$5))/(17.1*$F37*0.06854))^(1/4)*0.3048</f>
        <v>4.8965752587833888</v>
      </c>
      <c r="U37" s="11">
        <f>(((20*Input!$G$6*($J37/(2.54)^4))/(($B37/25.4)*($F37*0.00571)))^0.5)*25.4/1000</f>
        <v>7.7941050965106458</v>
      </c>
      <c r="V37" s="11">
        <f>((384*Input!$C$4*$J37*Input!$C$5)/(3*$F37*100000))^(1/4)</f>
        <v>5.1949959608810081</v>
      </c>
      <c r="W37" s="11">
        <f>(((200*Input!$C$6*($J37))/($B37*($F37)))^0.5)</f>
        <v>7.7939438819690459</v>
      </c>
      <c r="X37" s="11">
        <f t="shared" si="2"/>
        <v>4.5721769177656473</v>
      </c>
      <c r="Y37" s="26">
        <v>6</v>
      </c>
      <c r="Z37" s="26">
        <v>5.3</v>
      </c>
      <c r="AA37" s="26">
        <v>7.9</v>
      </c>
      <c r="AB37" s="32">
        <f t="shared" si="6"/>
        <v>1.1591852404937184</v>
      </c>
      <c r="AC37" s="32">
        <f t="shared" si="3"/>
        <v>1.3122851779174172</v>
      </c>
      <c r="AD37" s="32">
        <f t="shared" si="4"/>
        <v>0.87757799009653159</v>
      </c>
      <c r="AE37" s="49">
        <f>AA37/MIN(R37,P37,N37)</f>
        <v>1.3869057407584566</v>
      </c>
    </row>
    <row r="38" spans="1:31" x14ac:dyDescent="0.2">
      <c r="A38" s="5">
        <v>2.5</v>
      </c>
      <c r="B38" s="6">
        <v>73.02</v>
      </c>
      <c r="C38" s="10" t="s">
        <v>5</v>
      </c>
      <c r="D38" s="7">
        <v>3.05</v>
      </c>
      <c r="E38" s="8">
        <v>50</v>
      </c>
      <c r="F38" s="8">
        <f t="shared" si="0"/>
        <v>51.649618954587247</v>
      </c>
      <c r="G38" s="8">
        <f>(3.14*(B38+E38)*E38*Input!C$2/1000000)*9.81</f>
        <v>37.894342680000001</v>
      </c>
      <c r="H38" s="8">
        <f>((3.14*(B38-2*D38)^2)/4*Input!C$3/1000000)*9.81</f>
        <v>34.486611823440001</v>
      </c>
      <c r="I38" s="8">
        <f>(Input!C$8/1067)*'Bare+Vapour'!B38</f>
        <v>1.1291752577319587</v>
      </c>
      <c r="J38" s="142">
        <f t="shared" si="1"/>
        <v>41.123174964914639</v>
      </c>
      <c r="K38" s="11">
        <f>(Input!C$9*(Input!C$7+I38)*D38^2)/(0.644*F38*((B38/2)*D38)^0.5)</f>
        <v>179.57344792735111</v>
      </c>
      <c r="L38" s="11">
        <f>((384*Input!$C$4*$J38*Input!$C$5)/(5*$F38*100000))^(1/4)</f>
        <v>5.0409357658342895</v>
      </c>
      <c r="M38" s="11">
        <f>((160*Input!$C$6*$J38)/(B38*$F38))^0.5</f>
        <v>7.7017300692662234</v>
      </c>
      <c r="N38" s="11">
        <f>((384*Input!$C$4*$J38*Input!$C$5)/(($F38*100000)))^(1/4)</f>
        <v>7.5379571536547667</v>
      </c>
      <c r="O38" s="11">
        <f>((240*Input!$C$6*$J38)/($B38*$F38))^0.5</f>
        <v>9.4326544031761941</v>
      </c>
      <c r="P38" s="11">
        <f>((185*Input!$G$4*($J38/(2.54)^4)*(Input!$G$5))/($F38*0.00571))^(1/4)*25.4/1000</f>
        <v>6.2801249142920552</v>
      </c>
      <c r="Q38" s="11">
        <f>(((16*Input!$G$6*($J38/(2.54)^4))/(($B38/25.4)*($F38*0.00571)))^0.5)*25.4/1000</f>
        <v>7.7018893764028213</v>
      </c>
      <c r="R38" s="11">
        <f>((384*Input!$G$4*($J38/(2.54)^4)*(Input!$G$5))/($F38*0.00571))^(1/4)*25.4/1000</f>
        <v>7.5380351130320351</v>
      </c>
      <c r="S38" s="11">
        <f>(((24*Input!$G$6*($J38/(2.54)^4))/(($B38/25.4)*($F38*0.00571)))^0.5)*25.4/1000</f>
        <v>9.4328495137747197</v>
      </c>
      <c r="T38" s="11">
        <f>((Input!$G$4*($J38/(2.54)^4)*(Input!$G$5))/(17.1*$F38*0.06854))^(1/4)*0.3048</f>
        <v>5.3985927920223258</v>
      </c>
      <c r="U38" s="11">
        <f>(((20*Input!$G$6*($J38/(2.54)^4))/(($B38/25.4)*($F38*0.00571)))^0.5)*25.4/1000</f>
        <v>8.6109741004100862</v>
      </c>
      <c r="V38" s="11">
        <f>((384*Input!$C$4*$J38*Input!$C$5)/(3*$F38*100000))^(1/4)</f>
        <v>5.7276088422595945</v>
      </c>
      <c r="W38" s="11">
        <f>(((200*Input!$C$6*($J38))/($B38*($F38)))^0.5)</f>
        <v>8.6107959896167205</v>
      </c>
      <c r="X38" s="11">
        <f t="shared" si="2"/>
        <v>5.0409357658342895</v>
      </c>
      <c r="Y38" s="26">
        <v>7</v>
      </c>
      <c r="Z38" s="26" t="s">
        <v>6</v>
      </c>
      <c r="AA38" s="26" t="s">
        <v>6</v>
      </c>
      <c r="AB38" s="33" t="s">
        <v>6</v>
      </c>
      <c r="AC38" s="32">
        <f t="shared" si="3"/>
        <v>1.3886310647803861</v>
      </c>
      <c r="AD38" s="32">
        <f t="shared" si="4"/>
        <v>0.92863356176096878</v>
      </c>
    </row>
    <row r="39" spans="1:31" x14ac:dyDescent="0.2">
      <c r="A39" s="9">
        <v>3</v>
      </c>
      <c r="B39" s="6">
        <v>88.9</v>
      </c>
      <c r="C39" s="10" t="s">
        <v>5</v>
      </c>
      <c r="D39" s="7">
        <v>3.05</v>
      </c>
      <c r="E39" s="8">
        <v>100</v>
      </c>
      <c r="F39" s="8">
        <f t="shared" si="0"/>
        <v>63.371727701176439</v>
      </c>
      <c r="G39" s="8">
        <f>(3.14*(B39+E39)*E39*Input!C$2/1000000)*9.81</f>
        <v>116.37524520000004</v>
      </c>
      <c r="H39" s="8">
        <f>((3.14*(B39-2*D39)^2)/4*Input!C$3/1000000)*9.81</f>
        <v>52.795795464000015</v>
      </c>
      <c r="I39" s="8">
        <f>(Input!C$8/1067)*'Bare+Vapour'!B39</f>
        <v>1.3747422680412373</v>
      </c>
      <c r="J39" s="142">
        <f t="shared" si="1"/>
        <v>75.909355601008983</v>
      </c>
      <c r="K39" s="11">
        <f>(Input!C$9*(Input!C$7+I39)*D39^2)/(0.644*F39*((B39/2)*D39)^0.5)</f>
        <v>132.96490491959759</v>
      </c>
      <c r="L39" s="11">
        <f>((384*Input!$C$4*$J39*Input!$C$5)/(5*$F39*100000))^(1/4)</f>
        <v>5.5828533999556091</v>
      </c>
      <c r="M39" s="11">
        <f>((160*Input!$C$6*$J39)/(B39*$F39))^0.5</f>
        <v>8.5614721442220851</v>
      </c>
      <c r="N39" s="11">
        <f>((384*Input!$C$4*$J39*Input!$C$5)/(($F39*100000)))^(1/4)</f>
        <v>8.3483130273603674</v>
      </c>
      <c r="O39" s="11">
        <f>((240*Input!$C$6*$J39)/($B39*$F39))^0.5</f>
        <v>10.485619100197951</v>
      </c>
      <c r="P39" s="11">
        <f>((185*Input!$G$4*($J39/(2.54)^4)*(Input!$G$5))/($F39*0.00571))^(1/4)*25.4/1000</f>
        <v>6.9552595705608313</v>
      </c>
      <c r="Q39" s="11">
        <f>(((16*Input!$G$6*($J39/(2.54)^4))/(($B39/25.4)*($F39*0.00571)))^0.5)*25.4/1000</f>
        <v>8.5616492347718847</v>
      </c>
      <c r="R39" s="11">
        <f>((384*Input!$G$4*($J39/(2.54)^4)*(Input!$G$5))/($F39*0.00571))^(1/4)*25.4/1000</f>
        <v>8.3483993676342116</v>
      </c>
      <c r="S39" s="11">
        <f>(((24*Input!$G$6*($J39/(2.54)^4))/(($B39/25.4)*($F39*0.00571)))^0.5)*25.4/1000</f>
        <v>10.485835990940588</v>
      </c>
      <c r="T39" s="11">
        <f>((Input!$G$4*($J39/(2.54)^4)*(Input!$G$5))/(17.1*$F39*0.06854))^(1/4)*0.3048</f>
        <v>5.978959765405679</v>
      </c>
      <c r="U39" s="11">
        <f>(((20*Input!$G$6*($J39/(2.54)^4))/(($B39/25.4)*($F39*0.00571)))^0.5)*25.4/1000</f>
        <v>9.5722148442294941</v>
      </c>
      <c r="V39" s="11">
        <f>((384*Input!$C$4*$J39*Input!$C$5)/(3*$F39*100000))^(1/4)</f>
        <v>6.3433461531784863</v>
      </c>
      <c r="W39" s="11">
        <f>(((200*Input!$C$6*($J39))/($B39*($F39)))^0.5)</f>
        <v>9.572016850975734</v>
      </c>
      <c r="X39" s="11">
        <f t="shared" si="2"/>
        <v>5.5828533999556091</v>
      </c>
      <c r="Y39" s="26">
        <v>7.5</v>
      </c>
      <c r="Z39" s="26">
        <v>6.5</v>
      </c>
      <c r="AA39" s="26"/>
      <c r="AB39" s="32">
        <f t="shared" ref="AB39:AB49" si="7">Z39/MIN(L39:W39)</f>
        <v>1.1642791838402353</v>
      </c>
      <c r="AC39" s="32">
        <f t="shared" si="3"/>
        <v>1.3433990582771946</v>
      </c>
      <c r="AD39" s="32">
        <f t="shared" si="4"/>
        <v>0.89838509593732929</v>
      </c>
    </row>
    <row r="40" spans="1:31" x14ac:dyDescent="0.2">
      <c r="A40" s="9">
        <v>4</v>
      </c>
      <c r="B40" s="6">
        <v>114.3</v>
      </c>
      <c r="C40" s="10" t="s">
        <v>5</v>
      </c>
      <c r="D40" s="7">
        <v>3.05</v>
      </c>
      <c r="E40" s="8">
        <v>100</v>
      </c>
      <c r="F40" s="8">
        <f t="shared" si="0"/>
        <v>82.121196351262483</v>
      </c>
      <c r="G40" s="8">
        <f>(3.14*(B40+E40)*E40*Input!C$2/1000000)*9.81</f>
        <v>132.02337240000003</v>
      </c>
      <c r="H40" s="8">
        <f>((3.14*(B40-2*D40)^2)/4*Input!C$3/1000000)*9.81</f>
        <v>90.155699154000004</v>
      </c>
      <c r="I40" s="8">
        <f>(Input!C$8/1067)*'Bare+Vapour'!B40</f>
        <v>1.7675257731958762</v>
      </c>
      <c r="J40" s="142">
        <f t="shared" si="1"/>
        <v>165.10223735776398</v>
      </c>
      <c r="K40" s="11">
        <f>(Input!C$9*(Input!C$7+I40)*D40^2)/(0.644*F40*((B40/2)*D40)^0.5)</f>
        <v>90.841547783896786</v>
      </c>
      <c r="L40" s="11">
        <f>((384*Input!$C$4*$J40*Input!$C$5)/(5*$F40*100000))^(1/4)</f>
        <v>6.3544900982071804</v>
      </c>
      <c r="M40" s="11">
        <f>((160*Input!$C$6*$J40)/(B40*$F40))^0.5</f>
        <v>9.7819441782248688</v>
      </c>
      <c r="N40" s="11">
        <f>((384*Input!$C$4*$J40*Input!$C$5)/(($F40*100000)))^(1/4)</f>
        <v>9.502179023636419</v>
      </c>
      <c r="O40" s="11">
        <f>((240*Input!$C$6*$J40)/($B40*$F40))^0.5</f>
        <v>11.980385964519719</v>
      </c>
      <c r="P40" s="11">
        <f>((185*Input!$G$4*($J40/(2.54)^4)*(Input!$G$5))/($F40*0.00571))^(1/4)*25.4/1000</f>
        <v>7.9165840306573241</v>
      </c>
      <c r="Q40" s="11">
        <f>(((16*Input!$G$6*($J40/(2.54)^4))/(($B40/25.4)*($F40*0.00571)))^0.5)*25.4/1000</f>
        <v>9.7821465137395371</v>
      </c>
      <c r="R40" s="11">
        <f>((384*Input!$G$4*($J40/(2.54)^4)*(Input!$G$5))/($F40*0.00571))^(1/4)*25.4/1000</f>
        <v>9.5022772974716645</v>
      </c>
      <c r="S40" s="11">
        <f>(((24*Input!$G$6*($J40/(2.54)^4))/(($B40/25.4)*($F40*0.00571)))^0.5)*25.4/1000</f>
        <v>11.980633773903611</v>
      </c>
      <c r="T40" s="11">
        <f>((Input!$G$4*($J40/(2.54)^4)*(Input!$G$5))/(17.1*$F40*0.06854))^(1/4)*0.3048</f>
        <v>6.8053444905344671</v>
      </c>
      <c r="U40" s="11">
        <f>(((20*Input!$G$6*($J40/(2.54)^4))/(($B40/25.4)*($F40*0.00571)))^0.5)*25.4/1000</f>
        <v>10.936772285292092</v>
      </c>
      <c r="V40" s="11">
        <f>((384*Input!$C$4*$J40*Input!$C$5)/(3*$F40*100000))^(1/4)</f>
        <v>7.2200947136089599</v>
      </c>
      <c r="W40" s="11">
        <f>(((200*Input!$C$6*($J40))/($B40*($F40)))^0.5)</f>
        <v>10.936546067309562</v>
      </c>
      <c r="X40" s="11">
        <f t="shared" si="2"/>
        <v>6.3544900982071804</v>
      </c>
      <c r="Y40" s="26">
        <v>8</v>
      </c>
      <c r="Z40" s="26">
        <v>7.4</v>
      </c>
      <c r="AA40" s="26"/>
      <c r="AB40" s="32">
        <f t="shared" si="7"/>
        <v>1.1645308884953325</v>
      </c>
      <c r="AC40" s="32">
        <f t="shared" si="3"/>
        <v>1.258952311886846</v>
      </c>
      <c r="AD40" s="32">
        <f t="shared" si="4"/>
        <v>0.84191215300198108</v>
      </c>
    </row>
    <row r="41" spans="1:31" x14ac:dyDescent="0.2">
      <c r="A41" s="9">
        <v>6</v>
      </c>
      <c r="B41" s="6">
        <v>168.27</v>
      </c>
      <c r="C41" s="10" t="s">
        <v>5</v>
      </c>
      <c r="D41" s="8">
        <v>3.4</v>
      </c>
      <c r="E41" s="8">
        <v>100</v>
      </c>
      <c r="F41" s="8">
        <f t="shared" si="0"/>
        <v>135.66754417910059</v>
      </c>
      <c r="G41" s="8">
        <f>(3.14*(B41+E41)*E41*Input!C$2/1000000)*9.81</f>
        <v>165.27256236000002</v>
      </c>
      <c r="H41" s="8">
        <f>((3.14*(B41-2*D41)^2)/4*Input!C$3/1000000)*9.81</f>
        <v>200.78088060676504</v>
      </c>
      <c r="I41" s="8">
        <f>(Input!C$8/1067)*'Bare+Vapour'!B41</f>
        <v>2.6021134020618559</v>
      </c>
      <c r="J41" s="142">
        <f t="shared" si="1"/>
        <v>598.84612773637616</v>
      </c>
      <c r="K41" s="11">
        <f>(Input!C$9*(Input!C$7+I41)*D41^2)/(0.644*F41*((B41/2)*D41)^0.5)</f>
        <v>53.777338446764567</v>
      </c>
      <c r="L41" s="11">
        <f>((384*Input!$C$4*$J41*Input!$C$5)/(5*$F41*100000))^(1/4)</f>
        <v>7.7351030707874378</v>
      </c>
      <c r="M41" s="11">
        <f>((160*Input!$C$6*$J41)/(B41*$F41))^0.5</f>
        <v>11.94581386690365</v>
      </c>
      <c r="N41" s="11">
        <f>((384*Input!$C$4*$J41*Input!$C$5)/(($F41*100000)))^(1/4)</f>
        <v>11.566676949522513</v>
      </c>
      <c r="O41" s="11">
        <f>((240*Input!$C$6*$J41)/($B41*$F41))^0.5</f>
        <v>14.630574268088772</v>
      </c>
      <c r="P41" s="11">
        <f>((185*Input!$G$4*($J41/(2.54)^4)*(Input!$G$5))/($F41*0.00571))^(1/4)*25.4/1000</f>
        <v>9.6365864922759013</v>
      </c>
      <c r="Q41" s="11">
        <f>(((16*Input!$G$6*($J41/(2.54)^4))/(($B41/25.4)*($F41*0.00571)))^0.5)*25.4/1000</f>
        <v>11.946060961177842</v>
      </c>
      <c r="R41" s="11">
        <f>((384*Input!$G$4*($J41/(2.54)^4)*(Input!$G$5))/($F41*0.00571))^(1/4)*25.4/1000</f>
        <v>11.566796574894978</v>
      </c>
      <c r="S41" s="11">
        <f>(((24*Input!$G$6*($J41/(2.54)^4))/(($B41/25.4)*($F41*0.00571)))^0.5)*25.4/1000</f>
        <v>14.630876895533838</v>
      </c>
      <c r="T41" s="11">
        <f>((Input!$G$4*($J41/(2.54)^4)*(Input!$G$5))/(17.1*$F41*0.06854))^(1/4)*0.3048</f>
        <v>8.2839126748110115</v>
      </c>
      <c r="U41" s="11">
        <f>(((20*Input!$G$6*($J41/(2.54)^4))/(($B41/25.4)*($F41*0.00571)))^0.5)*25.4/1000</f>
        <v>13.356102186275065</v>
      </c>
      <c r="V41" s="11">
        <f>((384*Input!$C$4*$J41*Input!$C$5)/(3*$F41*100000))^(1/4)</f>
        <v>8.7887739106509102</v>
      </c>
      <c r="W41" s="11">
        <f>(((200*Input!$C$6*($J41))/($B41*($F41)))^0.5)</f>
        <v>13.355825926478094</v>
      </c>
      <c r="X41" s="11">
        <f t="shared" si="2"/>
        <v>7.7351030707874378</v>
      </c>
      <c r="Y41" s="26">
        <v>10</v>
      </c>
      <c r="Z41" s="26">
        <v>9</v>
      </c>
      <c r="AA41" s="26"/>
      <c r="AB41" s="32">
        <f t="shared" si="7"/>
        <v>1.1635268357301662</v>
      </c>
      <c r="AC41" s="32">
        <f t="shared" si="3"/>
        <v>1.2928075952557403</v>
      </c>
      <c r="AD41" s="32">
        <f t="shared" si="4"/>
        <v>0.86455254552715877</v>
      </c>
    </row>
    <row r="42" spans="1:31" x14ac:dyDescent="0.2">
      <c r="A42" s="9">
        <v>8</v>
      </c>
      <c r="B42" s="6">
        <v>219.07</v>
      </c>
      <c r="C42" s="10" t="s">
        <v>5</v>
      </c>
      <c r="D42" s="7">
        <v>3.76</v>
      </c>
      <c r="E42" s="8">
        <v>120</v>
      </c>
      <c r="F42" s="8">
        <f t="shared" si="0"/>
        <v>195.93293968488567</v>
      </c>
      <c r="G42" s="8">
        <f>(3.14*(B42+E42)*E42*Input!C$2/1000000)*9.81</f>
        <v>250.66821211200005</v>
      </c>
      <c r="H42" s="8">
        <f>((3.14*(B42-2*D42)^2)/4*Input!C$3/1000000)*9.81</f>
        <v>344.63923964212489</v>
      </c>
      <c r="I42" s="8">
        <f>(Input!C$8/1067)*'Bare+Vapour'!B42</f>
        <v>3.3876804123711342</v>
      </c>
      <c r="J42" s="142">
        <f t="shared" si="1"/>
        <v>1474.8220729655541</v>
      </c>
      <c r="K42" s="11">
        <f>(Input!C$9*(Input!C$7+I42)*D42^2)/(0.644*F42*((B42/2)*D42)^0.5)</f>
        <v>38.243319664856955</v>
      </c>
      <c r="L42" s="11">
        <f>((384*Input!$C$4*$J42*Input!$C$5)/(5*$F42*100000))^(1/4)</f>
        <v>8.8392278345594217</v>
      </c>
      <c r="M42" s="11">
        <f>((160*Input!$C$6*$J42)/(B42*$F42))^0.5</f>
        <v>13.671749200089753</v>
      </c>
      <c r="N42" s="11">
        <f>((384*Input!$C$4*$J42*Input!$C$5)/(($F42*100000)))^(1/4)</f>
        <v>13.217728569345116</v>
      </c>
      <c r="O42" s="11">
        <f>((240*Input!$C$6*$J42)/($B42*$F42))^0.5</f>
        <v>16.744404715761984</v>
      </c>
      <c r="P42" s="11">
        <f>((185*Input!$G$4*($J42/(2.54)^4)*(Input!$G$5))/($F42*0.00571))^(1/4)*25.4/1000</f>
        <v>11.012132970064361</v>
      </c>
      <c r="Q42" s="11">
        <f>(((16*Input!$G$6*($J42/(2.54)^4))/(($B42/25.4)*($F42*0.00571)))^0.5)*25.4/1000</f>
        <v>13.672031994630434</v>
      </c>
      <c r="R42" s="11">
        <f>((384*Input!$G$4*($J42/(2.54)^4)*(Input!$G$5))/($F42*0.00571))^(1/4)*25.4/1000</f>
        <v>13.217865270293036</v>
      </c>
      <c r="S42" s="11">
        <f>(((24*Input!$G$6*($J42/(2.54)^4))/(($B42/25.4)*($F42*0.00571)))^0.5)*25.4/1000</f>
        <v>16.744751066925339</v>
      </c>
      <c r="T42" s="11">
        <f>((Input!$G$4*($J42/(2.54)^4)*(Input!$G$5))/(17.1*$F42*0.06854))^(1/4)*0.3048</f>
        <v>9.4663756674149777</v>
      </c>
      <c r="U42" s="11">
        <f>(((20*Input!$G$6*($J42/(2.54)^4))/(($B42/25.4)*($F42*0.00571)))^0.5)*25.4/1000</f>
        <v>15.285796465272844</v>
      </c>
      <c r="V42" s="11">
        <f>((384*Input!$C$4*$J42*Input!$C$5)/(3*$F42*100000))^(1/4)</f>
        <v>10.043301850244992</v>
      </c>
      <c r="W42" s="11">
        <f>(((200*Input!$C$6*($J42))/($B42*($F42)))^0.5)</f>
        <v>15.28548029136453</v>
      </c>
      <c r="X42" s="11">
        <f t="shared" si="2"/>
        <v>8.8392278345594217</v>
      </c>
      <c r="Y42" s="26">
        <v>11.5</v>
      </c>
      <c r="Z42" s="26">
        <v>10.3</v>
      </c>
      <c r="AA42" s="26"/>
      <c r="AB42" s="32">
        <f t="shared" si="7"/>
        <v>1.1652601553870219</v>
      </c>
      <c r="AC42" s="32">
        <f t="shared" si="3"/>
        <v>1.301018620092306</v>
      </c>
      <c r="AD42" s="32">
        <f t="shared" si="4"/>
        <v>0.87004358878053267</v>
      </c>
    </row>
    <row r="43" spans="1:31" x14ac:dyDescent="0.2">
      <c r="A43" s="9">
        <v>10</v>
      </c>
      <c r="B43" s="6">
        <v>273.05</v>
      </c>
      <c r="C43" s="10" t="s">
        <v>5</v>
      </c>
      <c r="D43" s="7">
        <v>4.1900000000000004</v>
      </c>
      <c r="E43" s="8">
        <v>120</v>
      </c>
      <c r="F43" s="8">
        <f t="shared" si="0"/>
        <v>272.64379981784248</v>
      </c>
      <c r="G43" s="8">
        <f>(3.14*(B43+E43)*E43*Input!C$2/1000000)*9.81</f>
        <v>290.57463288000002</v>
      </c>
      <c r="H43" s="8">
        <f>((3.14*(B43-2*D43)^2)/4*Input!C$3/1000000)*9.81</f>
        <v>539.44615120756509</v>
      </c>
      <c r="I43" s="8">
        <f>(Input!C$8/1067)*'Bare+Vapour'!B43</f>
        <v>4.2224226804123717</v>
      </c>
      <c r="J43" s="142">
        <f t="shared" si="1"/>
        <v>3199.8146914381359</v>
      </c>
      <c r="K43" s="11">
        <f>(Input!C$9*(Input!C$7+I43)*D43^2)/(0.644*F43*((B43/2)*D43)^0.5)</f>
        <v>29.19237408002337</v>
      </c>
      <c r="L43" s="11">
        <f>((384*Input!$C$4*$J43*Input!$C$5)/(5*$F43*100000))^(1/4)</f>
        <v>9.8773077430858951</v>
      </c>
      <c r="M43" s="11">
        <f>((160*Input!$C$6*$J43)/(B43*$F43))^0.5</f>
        <v>15.291249006146488</v>
      </c>
      <c r="N43" s="11">
        <f>((384*Input!$C$4*$J43*Input!$C$5)/(($F43*100000)))^(1/4)</f>
        <v>14.77002009537042</v>
      </c>
      <c r="O43" s="11">
        <f>((240*Input!$C$6*$J43)/($B43*$F43))^0.5</f>
        <v>18.727878797449645</v>
      </c>
      <c r="P43" s="11">
        <f>((185*Input!$G$4*($J43/(2.54)^4)*(Input!$G$5))/($F43*0.00571))^(1/4)*25.4/1000</f>
        <v>12.305399101473636</v>
      </c>
      <c r="Q43" s="11">
        <f>(((16*Input!$G$6*($J43/(2.54)^4))/(($B43/25.4)*($F43*0.00571)))^0.5)*25.4/1000</f>
        <v>15.291565299378306</v>
      </c>
      <c r="R43" s="11">
        <f>((384*Input!$G$4*($J43/(2.54)^4)*(Input!$G$5))/($F43*0.00571))^(1/4)*25.4/1000</f>
        <v>14.77017285049299</v>
      </c>
      <c r="S43" s="11">
        <f>(((24*Input!$G$6*($J43/(2.54)^4))/(($B43/25.4)*($F43*0.00571)))^0.5)*25.4/1000</f>
        <v>18.728266175963171</v>
      </c>
      <c r="T43" s="11">
        <f>((Input!$G$4*($J43/(2.54)^4)*(Input!$G$5))/(17.1*$F43*0.06854))^(1/4)*0.3048</f>
        <v>10.578107887789093</v>
      </c>
      <c r="U43" s="11">
        <f>(((20*Input!$G$6*($J43/(2.54)^4))/(($B43/25.4)*($F43*0.00571)))^0.5)*25.4/1000</f>
        <v>17.096489745893408</v>
      </c>
      <c r="V43" s="11">
        <f>((384*Input!$C$4*$J43*Input!$C$5)/(3*$F43*100000))^(1/4)</f>
        <v>11.222788346253585</v>
      </c>
      <c r="W43" s="11">
        <f>(((200*Input!$C$6*($J43))/($B43*($F43)))^0.5)</f>
        <v>17.096136119309826</v>
      </c>
      <c r="X43" s="11">
        <f t="shared" si="2"/>
        <v>9.8773077430858951</v>
      </c>
      <c r="Y43" s="26">
        <v>13</v>
      </c>
      <c r="Z43" s="26">
        <v>11.5</v>
      </c>
      <c r="AA43" s="26"/>
      <c r="AB43" s="32">
        <f t="shared" si="7"/>
        <v>1.1642848738868128</v>
      </c>
      <c r="AC43" s="32">
        <f t="shared" si="3"/>
        <v>1.3161481183068318</v>
      </c>
      <c r="AD43" s="32">
        <f t="shared" si="4"/>
        <v>0.88016129403065457</v>
      </c>
    </row>
    <row r="44" spans="1:31" x14ac:dyDescent="0.2">
      <c r="A44" s="9">
        <v>12</v>
      </c>
      <c r="B44" s="6">
        <v>323.85000000000002</v>
      </c>
      <c r="C44" s="10" t="s">
        <v>5</v>
      </c>
      <c r="D44" s="7">
        <v>4.57</v>
      </c>
      <c r="E44" s="8">
        <v>120</v>
      </c>
      <c r="F44" s="8">
        <f t="shared" si="0"/>
        <v>353.1370814797915</v>
      </c>
      <c r="G44" s="8">
        <f>(3.14*(B44+E44)*E44*Input!C$2/1000000)*9.81</f>
        <v>328.13013816000006</v>
      </c>
      <c r="H44" s="8">
        <f>((3.14*(B44-2*D44)^2)/4*Input!C$3/1000000)*9.81</f>
        <v>762.71054359648531</v>
      </c>
      <c r="I44" s="8">
        <f>(Input!C$8/1067)*'Bare+Vapour'!B44</f>
        <v>5.0079896907216499</v>
      </c>
      <c r="J44" s="142">
        <f t="shared" si="1"/>
        <v>5844.496041878625</v>
      </c>
      <c r="K44" s="11">
        <f>(Input!C$9*(Input!C$7+I44)*D44^2)/(0.644*F44*((B44/2)*D44)^0.5)</f>
        <v>23.751186147664566</v>
      </c>
      <c r="L44" s="11">
        <f>((384*Input!$C$4*$J44*Input!$C$5)/(5*$F44*100000))^(1/4)</f>
        <v>10.763591843388191</v>
      </c>
      <c r="M44" s="11">
        <f>((160*Input!$C$6*$J44)/(B44*$F44))^0.5</f>
        <v>16.673599742912856</v>
      </c>
      <c r="N44" s="11">
        <f>((384*Input!$C$4*$J44*Input!$C$5)/(($F44*100000)))^(1/4)</f>
        <v>16.095323944573206</v>
      </c>
      <c r="O44" s="11">
        <f>((240*Input!$C$6*$J44)/($B44*$F44))^0.5</f>
        <v>20.420905772768638</v>
      </c>
      <c r="P44" s="11">
        <f>((185*Input!$G$4*($J44/(2.54)^4)*(Input!$G$5))/($F44*0.00571))^(1/4)*25.4/1000</f>
        <v>13.409554186561925</v>
      </c>
      <c r="Q44" s="11">
        <f>(((16*Input!$G$6*($J44/(2.54)^4))/(($B44/25.4)*($F44*0.00571)))^0.5)*25.4/1000</f>
        <v>16.673944629504305</v>
      </c>
      <c r="R44" s="11">
        <f>((384*Input!$G$4*($J44/(2.54)^4)*(Input!$G$5))/($F44*0.00571))^(1/4)*25.4/1000</f>
        <v>16.095490406308937</v>
      </c>
      <c r="S44" s="11">
        <f>(((24*Input!$G$6*($J44/(2.54)^4))/(($B44/25.4)*($F44*0.00571)))^0.5)*25.4/1000</f>
        <v>20.421328170852728</v>
      </c>
      <c r="T44" s="11">
        <f>((Input!$G$4*($J44/(2.54)^4)*(Input!$G$5))/(17.1*$F44*0.06854))^(1/4)*0.3048</f>
        <v>11.527274308040843</v>
      </c>
      <c r="U44" s="11">
        <f>(((20*Input!$G$6*($J44/(2.54)^4))/(($B44/25.4)*($F44*0.00571)))^0.5)*25.4/1000</f>
        <v>18.642036822319586</v>
      </c>
      <c r="V44" s="11">
        <f>((384*Input!$C$4*$J44*Input!$C$5)/(3*$F44*100000))^(1/4)</f>
        <v>12.229801505209274</v>
      </c>
      <c r="W44" s="11">
        <f>(((200*Input!$C$6*($J44))/($B44*($F44)))^0.5)</f>
        <v>18.641651227388085</v>
      </c>
      <c r="X44" s="11">
        <f t="shared" si="2"/>
        <v>10.763591843388191</v>
      </c>
      <c r="Y44" s="26">
        <v>14.5</v>
      </c>
      <c r="Z44" s="26">
        <v>12.5</v>
      </c>
      <c r="AA44" s="26"/>
      <c r="AB44" s="32">
        <f t="shared" si="7"/>
        <v>1.1613223709962992</v>
      </c>
      <c r="AC44" s="32">
        <f t="shared" si="3"/>
        <v>1.3471339503557069</v>
      </c>
      <c r="AD44" s="32">
        <f t="shared" si="4"/>
        <v>0.90088276880496743</v>
      </c>
    </row>
    <row r="45" spans="1:31" x14ac:dyDescent="0.2">
      <c r="A45" s="9">
        <v>14</v>
      </c>
      <c r="B45" s="6">
        <v>355.6</v>
      </c>
      <c r="C45" s="10" t="s">
        <v>5</v>
      </c>
      <c r="D45" s="7">
        <v>4.78</v>
      </c>
      <c r="E45" s="8">
        <v>120</v>
      </c>
      <c r="F45" s="8">
        <f t="shared" si="0"/>
        <v>405.85196164857069</v>
      </c>
      <c r="G45" s="8">
        <f>(3.14*(B45+E45)*E45*Input!C$2/1000000)*9.81</f>
        <v>351.60232896000002</v>
      </c>
      <c r="H45" s="8">
        <f>((3.14*(B45-2*D45)^2)/4*Input!C$3/1000000)*9.81</f>
        <v>922.12813044936013</v>
      </c>
      <c r="I45" s="8">
        <f>(Input!C$8/1067)*'Bare+Vapour'!B45</f>
        <v>5.4989690721649493</v>
      </c>
      <c r="J45" s="142">
        <f t="shared" si="1"/>
        <v>8109.3921922183499</v>
      </c>
      <c r="K45" s="11">
        <f>(Input!C$9*(Input!C$7+I45)*D45^2)/(0.644*F45*((B45/2)*D45)^0.5)</f>
        <v>21.195587959402161</v>
      </c>
      <c r="L45" s="11">
        <f>((384*Input!$C$4*$J45*Input!$C$5)/(5*$F45*100000))^(1/4)</f>
        <v>11.282658632377313</v>
      </c>
      <c r="M45" s="11">
        <f>((160*Input!$C$6*$J45)/(B45*$F45))^0.5</f>
        <v>17.483521070919338</v>
      </c>
      <c r="N45" s="11">
        <f>((384*Input!$C$4*$J45*Input!$C$5)/(($F45*100000)))^(1/4)</f>
        <v>16.8715098348605</v>
      </c>
      <c r="O45" s="11">
        <f>((240*Input!$C$6*$J45)/($B45*$F45))^0.5</f>
        <v>21.412852765475243</v>
      </c>
      <c r="P45" s="11">
        <f>((185*Input!$G$4*($J45/(2.54)^4)*(Input!$G$5))/($F45*0.00571))^(1/4)*25.4/1000</f>
        <v>14.056220683644868</v>
      </c>
      <c r="Q45" s="11">
        <f>(((16*Input!$G$6*($J45/(2.54)^4))/(($B45/25.4)*($F45*0.00571)))^0.5)*25.4/1000</f>
        <v>17.483882710402209</v>
      </c>
      <c r="R45" s="11">
        <f>((384*Input!$G$4*($J45/(2.54)^4)*(Input!$G$5))/($F45*0.00571))^(1/4)*25.4/1000</f>
        <v>16.871684324098577</v>
      </c>
      <c r="S45" s="11">
        <f>(((24*Input!$G$6*($J45/(2.54)^4))/(($B45/25.4)*($F45*0.00571)))^0.5)*25.4/1000</f>
        <v>21.413295681577182</v>
      </c>
      <c r="T45" s="11">
        <f>((Input!$G$4*($J45/(2.54)^4)*(Input!$G$5))/(17.1*$F45*0.06854))^(1/4)*0.3048</f>
        <v>12.083169156891602</v>
      </c>
      <c r="U45" s="11">
        <f>(((20*Input!$G$6*($J45/(2.54)^4))/(($B45/25.4)*($F45*0.00571)))^0.5)*25.4/1000</f>
        <v>19.547575125546306</v>
      </c>
      <c r="V45" s="11">
        <f>((384*Input!$C$4*$J45*Input!$C$5)/(3*$F45*100000))^(1/4)</f>
        <v>12.819575243348819</v>
      </c>
      <c r="W45" s="11">
        <f>(((200*Input!$C$6*($J45))/($B45*($F45)))^0.5)</f>
        <v>19.547170800312781</v>
      </c>
      <c r="X45" s="11">
        <f t="shared" si="2"/>
        <v>11.282658632377313</v>
      </c>
      <c r="Y45" s="26">
        <v>15.5</v>
      </c>
      <c r="Z45" s="26">
        <v>13.1</v>
      </c>
      <c r="AA45" s="26"/>
      <c r="AB45" s="32">
        <f t="shared" si="7"/>
        <v>1.1610738591707055</v>
      </c>
      <c r="AC45" s="32">
        <f t="shared" si="3"/>
        <v>1.3737896806981629</v>
      </c>
      <c r="AD45" s="32">
        <f t="shared" si="4"/>
        <v>0.9187085300435508</v>
      </c>
    </row>
    <row r="46" spans="1:31" x14ac:dyDescent="0.2">
      <c r="A46" s="9">
        <v>16</v>
      </c>
      <c r="B46" s="6">
        <v>406.4</v>
      </c>
      <c r="C46" s="10" t="s">
        <v>5</v>
      </c>
      <c r="D46" s="7">
        <v>4.78</v>
      </c>
      <c r="E46" s="8">
        <v>120</v>
      </c>
      <c r="F46" s="8">
        <f t="shared" si="0"/>
        <v>464.62078797474203</v>
      </c>
      <c r="G46" s="8">
        <f>(3.14*(B46+E46)*E46*Input!C$2/1000000)*9.81</f>
        <v>389.15783424000006</v>
      </c>
      <c r="H46" s="8">
        <f>((3.14*(B46-2*D46)^2)/4*Input!C$3/1000000)*9.81</f>
        <v>1212.74514880776</v>
      </c>
      <c r="I46" s="8">
        <f>(Input!C$8/1067)*'Bare+Vapour'!B46</f>
        <v>6.2845360824742267</v>
      </c>
      <c r="J46" s="142">
        <f t="shared" si="1"/>
        <v>12166.402054575447</v>
      </c>
      <c r="K46" s="11">
        <f>(Input!C$9*(Input!C$7+I46)*D46^2)/(0.644*F46*((B46/2)*D46)^0.5)</f>
        <v>17.44778787891217</v>
      </c>
      <c r="L46" s="11">
        <f>((384*Input!$C$4*$J46*Input!$C$5)/(5*$F46*100000))^(1/4)</f>
        <v>12.071803744525528</v>
      </c>
      <c r="M46" s="11">
        <f>((160*Input!$C$6*$J46)/(B46*$F46))^0.5</f>
        <v>18.722091515858192</v>
      </c>
      <c r="N46" s="11">
        <f>((384*Input!$C$4*$J46*Input!$C$5)/(($F46*100000)))^(1/4)</f>
        <v>18.051557016518014</v>
      </c>
      <c r="O46" s="11">
        <f>((240*Input!$C$6*$J46)/($B46*$F46))^0.5</f>
        <v>22.929785565771301</v>
      </c>
      <c r="P46" s="11">
        <f>((185*Input!$G$4*($J46/(2.54)^4)*(Input!$G$5))/($F46*0.00571))^(1/4)*25.4/1000</f>
        <v>15.03935756735272</v>
      </c>
      <c r="Q46" s="11">
        <f>(((16*Input!$G$6*($J46/(2.54)^4))/(($B46/25.4)*($F46*0.00571)))^0.5)*25.4/1000</f>
        <v>18.722478774664161</v>
      </c>
      <c r="R46" s="11">
        <f>((384*Input!$G$4*($J46/(2.54)^4)*(Input!$G$5))/($F46*0.00571))^(1/4)*25.4/1000</f>
        <v>18.051743710089642</v>
      </c>
      <c r="S46" s="11">
        <f>(((24*Input!$G$6*($J46/(2.54)^4))/(($B46/25.4)*($F46*0.00571)))^0.5)*25.4/1000</f>
        <v>22.930259859007812</v>
      </c>
      <c r="T46" s="11">
        <f>((Input!$G$4*($J46/(2.54)^4)*(Input!$G$5))/(17.1*$F46*0.06854))^(1/4)*0.3048</f>
        <v>12.928304527030152</v>
      </c>
      <c r="U46" s="11">
        <f>(((20*Input!$G$6*($J46/(2.54)^4))/(($B46/25.4)*($F46*0.00571)))^0.5)*25.4/1000</f>
        <v>20.932367623723017</v>
      </c>
      <c r="V46" s="11">
        <f>((384*Input!$C$4*$J46*Input!$C$5)/(3*$F46*100000))^(1/4)</f>
        <v>13.716217202724783</v>
      </c>
      <c r="W46" s="11">
        <f>(((200*Input!$C$6*($J46))/($B46*($F46)))^0.5)</f>
        <v>20.931934655215496</v>
      </c>
      <c r="X46" s="11">
        <f t="shared" si="2"/>
        <v>12.071803744525528</v>
      </c>
      <c r="Y46" s="26">
        <v>16.5</v>
      </c>
      <c r="Z46" s="26">
        <v>14</v>
      </c>
      <c r="AA46" s="26"/>
      <c r="AB46" s="32">
        <f t="shared" si="7"/>
        <v>1.1597272699491072</v>
      </c>
      <c r="AC46" s="32">
        <f t="shared" si="3"/>
        <v>1.366821425297162</v>
      </c>
      <c r="AD46" s="32">
        <f t="shared" si="4"/>
        <v>0.91404857680153195</v>
      </c>
    </row>
    <row r="47" spans="1:31" x14ac:dyDescent="0.2">
      <c r="A47" s="9">
        <v>18</v>
      </c>
      <c r="B47" s="6">
        <v>457.2</v>
      </c>
      <c r="C47" s="10" t="s">
        <v>5</v>
      </c>
      <c r="D47" s="7">
        <v>4.78</v>
      </c>
      <c r="E47" s="8">
        <v>120</v>
      </c>
      <c r="F47" s="8">
        <f t="shared" si="0"/>
        <v>523.38961430091342</v>
      </c>
      <c r="G47" s="8">
        <f>(3.14*(B47+E47)*E47*Input!C$2/1000000)*9.81</f>
        <v>426.71333952000003</v>
      </c>
      <c r="H47" s="8">
        <f>((3.14*(B47-2*D47)^2)/4*Input!C$3/1000000)*9.81</f>
        <v>1543.1084102541602</v>
      </c>
      <c r="I47" s="8">
        <f>(Input!C$8/1067)*'Bare+Vapour'!B47</f>
        <v>7.0701030927835049</v>
      </c>
      <c r="J47" s="142">
        <f t="shared" si="1"/>
        <v>17391.158649707962</v>
      </c>
      <c r="K47" s="11">
        <f>(Input!C$9*(Input!C$7+I47)*D47^2)/(0.644*F47*((B47/2)*D47)^0.5)</f>
        <v>14.710782940165251</v>
      </c>
      <c r="L47" s="11">
        <f>((384*Input!$C$4*$J47*Input!$C$5)/(5*$F47*100000))^(1/4)</f>
        <v>12.812448673802072</v>
      </c>
      <c r="M47" s="11">
        <f>((160*Input!$C$6*$J47)/(B47*$F47))^0.5</f>
        <v>19.883738694207501</v>
      </c>
      <c r="N47" s="11">
        <f>((384*Input!$C$4*$J47*Input!$C$5)/(($F47*100000)))^(1/4)</f>
        <v>19.159079508829368</v>
      </c>
      <c r="O47" s="11">
        <f>((240*Input!$C$6*$J47)/($B47*$F47))^0.5</f>
        <v>24.352506989821126</v>
      </c>
      <c r="P47" s="11">
        <f>((185*Input!$G$4*($J47/(2.54)^4)*(Input!$G$5))/($F47*0.00571))^(1/4)*25.4/1000</f>
        <v>15.962071700018104</v>
      </c>
      <c r="Q47" s="11">
        <f>(((16*Input!$G$6*($J47/(2.54)^4))/(($B47/25.4)*($F47*0.00571)))^0.5)*25.4/1000</f>
        <v>19.88414998121026</v>
      </c>
      <c r="R47" s="11">
        <f>((384*Input!$G$4*($J47/(2.54)^4)*(Input!$G$5))/($F47*0.00571))^(1/4)*25.4/1000</f>
        <v>19.15927765666666</v>
      </c>
      <c r="S47" s="11">
        <f>(((24*Input!$G$6*($J47/(2.54)^4))/(($B47/25.4)*($F47*0.00571)))^0.5)*25.4/1000</f>
        <v>24.353010711468428</v>
      </c>
      <c r="T47" s="11">
        <f>((Input!$G$4*($J47/(2.54)^4)*(Input!$G$5))/(17.1*$F47*0.06854))^(1/4)*0.3048</f>
        <v>13.721498600983695</v>
      </c>
      <c r="U47" s="11">
        <f>(((20*Input!$G$6*($J47/(2.54)^4))/(($B47/25.4)*($F47*0.00571)))^0.5)*25.4/1000</f>
        <v>22.231155516393649</v>
      </c>
      <c r="V47" s="11">
        <f>((384*Input!$C$4*$J47*Input!$C$5)/(3*$F47*100000))^(1/4)</f>
        <v>14.557752315044741</v>
      </c>
      <c r="W47" s="11">
        <f>(((200*Input!$C$6*($J47))/($B47*($F47)))^0.5)</f>
        <v>22.230695683545438</v>
      </c>
      <c r="X47" s="11">
        <f t="shared" si="2"/>
        <v>12.812448673802072</v>
      </c>
      <c r="Y47" s="26">
        <v>17.5</v>
      </c>
      <c r="Z47" s="26">
        <v>14.9</v>
      </c>
      <c r="AA47" s="26"/>
      <c r="AB47" s="32">
        <f t="shared" si="7"/>
        <v>1.1629314879103787</v>
      </c>
      <c r="AC47" s="32">
        <f t="shared" si="3"/>
        <v>1.3658591300960823</v>
      </c>
      <c r="AD47" s="32">
        <f t="shared" si="4"/>
        <v>0.9134050512152847</v>
      </c>
    </row>
    <row r="48" spans="1:31" x14ac:dyDescent="0.2">
      <c r="A48" s="9">
        <v>20</v>
      </c>
      <c r="B48" s="6">
        <v>508</v>
      </c>
      <c r="C48" s="10" t="s">
        <v>5</v>
      </c>
      <c r="D48" s="7">
        <v>5.54</v>
      </c>
      <c r="E48" s="8">
        <v>140</v>
      </c>
      <c r="F48" s="8">
        <f t="shared" si="0"/>
        <v>673.70018612739034</v>
      </c>
      <c r="G48" s="8">
        <f>(3.14*(B48+E48)*E48*Input!C$2/1000000)*9.81</f>
        <v>558.89688960000001</v>
      </c>
      <c r="H48" s="8">
        <f>((3.14*(B48-2*D48)^2)/4*Input!C$3/1000000)*9.81</f>
        <v>1901.5669353434403</v>
      </c>
      <c r="I48" s="8">
        <f>(Input!C$8/1067)*'Bare+Vapour'!B48</f>
        <v>7.855670103092784</v>
      </c>
      <c r="J48" s="142">
        <f t="shared" si="1"/>
        <v>27611.741380886502</v>
      </c>
      <c r="K48" s="11">
        <f>(Input!C$9*(Input!C$7+I48)*D48^2)/(0.644*F48*((B48/2)*D48)^0.5)</f>
        <v>13.627401080056297</v>
      </c>
      <c r="L48" s="11">
        <f>((384*Input!$C$4*$J48*Input!$C$5)/(5*$F48*100000))^(1/4)</f>
        <v>13.50246521032421</v>
      </c>
      <c r="M48" s="11">
        <f>((160*Input!$C$6*$J48)/(B48*$F48))^0.5</f>
        <v>20.949861614040941</v>
      </c>
      <c r="N48" s="11">
        <f>((384*Input!$C$4*$J48*Input!$C$5)/(($F48*100000)))^(1/4)</f>
        <v>20.190894895740236</v>
      </c>
      <c r="O48" s="11">
        <f>((240*Input!$C$6*$J48)/($B48*$F48))^0.5</f>
        <v>25.658235568160162</v>
      </c>
      <c r="P48" s="11">
        <f>((185*Input!$G$4*($J48/(2.54)^4)*(Input!$G$5))/($F48*0.00571))^(1/4)*25.4/1000</f>
        <v>16.821711704093623</v>
      </c>
      <c r="Q48" s="11">
        <f>(((16*Input!$G$6*($J48/(2.54)^4))/(($B48/25.4)*($F48*0.00571)))^0.5)*25.4/1000</f>
        <v>20.950294953360274</v>
      </c>
      <c r="R48" s="11">
        <f>((384*Input!$G$4*($J48/(2.54)^4)*(Input!$G$5))/($F48*0.00571))^(1/4)*25.4/1000</f>
        <v>20.191103714861999</v>
      </c>
      <c r="S48" s="11">
        <f>(((24*Input!$G$6*($J48/(2.54)^4))/(($B48/25.4)*($F48*0.00571)))^0.5)*25.4/1000</f>
        <v>25.658766298269082</v>
      </c>
      <c r="T48" s="11">
        <f>((Input!$G$4*($J48/(2.54)^4)*(Input!$G$5))/(17.1*$F48*0.06854))^(1/4)*0.3048</f>
        <v>14.460472171266455</v>
      </c>
      <c r="U48" s="11">
        <f>(((20*Input!$G$6*($J48/(2.54)^4))/(($B48/25.4)*($F48*0.00571)))^0.5)*25.4/1000</f>
        <v>23.423141832192176</v>
      </c>
      <c r="V48" s="11">
        <f>((384*Input!$C$4*$J48*Input!$C$5)/(3*$F48*100000))^(1/4)</f>
        <v>15.341762467024024</v>
      </c>
      <c r="W48" s="11">
        <f>(((200*Input!$C$6*($J48))/($B48*($F48)))^0.5)</f>
        <v>23.422657344104501</v>
      </c>
      <c r="X48" s="11">
        <f t="shared" si="2"/>
        <v>13.50246521032421</v>
      </c>
      <c r="Y48" s="26">
        <v>18.5</v>
      </c>
      <c r="Z48" s="26">
        <v>15.7</v>
      </c>
      <c r="AA48" s="26"/>
      <c r="AB48" s="32">
        <f t="shared" si="7"/>
        <v>1.1627506351947878</v>
      </c>
      <c r="AC48" s="32">
        <f t="shared" si="3"/>
        <v>1.3701201752295271</v>
      </c>
      <c r="AD48" s="32">
        <f t="shared" si="4"/>
        <v>0.91625458383734282</v>
      </c>
    </row>
    <row r="49" spans="1:30" x14ac:dyDescent="0.2">
      <c r="A49" s="9">
        <v>24</v>
      </c>
      <c r="B49" s="6">
        <v>609.6</v>
      </c>
      <c r="C49" s="10" t="s">
        <v>5</v>
      </c>
      <c r="D49" s="7">
        <v>6.35</v>
      </c>
      <c r="E49" s="8">
        <v>140</v>
      </c>
      <c r="F49" s="8">
        <f t="shared" si="0"/>
        <v>927.09975107905018</v>
      </c>
      <c r="G49" s="8">
        <f>(3.14*(B49+E49)*E49*Input!C$2/1000000)*9.81</f>
        <v>646.52640192000013</v>
      </c>
      <c r="H49" s="8">
        <f>((3.14*(B49-2*D49)^2)/4*Input!C$3/1000000)*9.81</f>
        <v>2743.7328431685005</v>
      </c>
      <c r="I49" s="8">
        <f>(Input!C$8/1067)*'Bare+Vapour'!B49</f>
        <v>9.4268041237113405</v>
      </c>
      <c r="J49" s="142">
        <f t="shared" si="1"/>
        <v>54769.729135176691</v>
      </c>
      <c r="K49" s="11">
        <f>(Input!C$9*(Input!C$7+I49)*D49^2)/(0.644*F49*((B49/2)*D49)^0.5)</f>
        <v>11.254839161474196</v>
      </c>
      <c r="L49" s="11">
        <f>((384*Input!$C$4*$J49*Input!$C$5)/(5*$F49*100000))^(1/4)</f>
        <v>14.794824462707679</v>
      </c>
      <c r="M49" s="11">
        <f>((160*Input!$C$6*$J49)/(B49*$F49))^0.5</f>
        <v>22.96064241515586</v>
      </c>
      <c r="N49" s="11">
        <f>((384*Input!$C$4*$J49*Input!$C$5)/(($F49*100000)))^(1/4)</f>
        <v>22.123422728691825</v>
      </c>
      <c r="O49" s="11">
        <f>((240*Input!$C$6*$J49)/($B49*$F49))^0.5</f>
        <v>28.120929041818329</v>
      </c>
      <c r="P49" s="11">
        <f>((185*Input!$G$4*($J49/(2.54)^4)*(Input!$G$5))/($F49*0.00571))^(1/4)*25.4/1000</f>
        <v>18.431765455247898</v>
      </c>
      <c r="Q49" s="11">
        <f>(((16*Input!$G$6*($J49/(2.54)^4))/(($B49/25.4)*($F49*0.00571)))^0.5)*25.4/1000</f>
        <v>22.961117346653683</v>
      </c>
      <c r="R49" s="11">
        <f>((384*Input!$G$4*($J49/(2.54)^4)*(Input!$G$5))/($F49*0.00571))^(1/4)*25.4/1000</f>
        <v>22.12365153448415</v>
      </c>
      <c r="S49" s="11">
        <f>(((24*Input!$G$6*($J49/(2.54)^4))/(($B49/25.4)*($F49*0.00571)))^0.5)*25.4/1000</f>
        <v>28.121510711734548</v>
      </c>
      <c r="T49" s="11">
        <f>((Input!$G$4*($J49/(2.54)^4)*(Input!$G$5))/(17.1*$F49*0.06854))^(1/4)*0.3048</f>
        <v>15.844524987790697</v>
      </c>
      <c r="U49" s="11">
        <f>(((20*Input!$G$6*($J49/(2.54)^4))/(($B49/25.4)*($F49*0.00571)))^0.5)*25.4/1000</f>
        <v>25.671309613233618</v>
      </c>
      <c r="V49" s="11">
        <f>((384*Input!$C$4*$J49*Input!$C$5)/(3*$F49*100000))^(1/4)</f>
        <v>16.81016607801558</v>
      </c>
      <c r="W49" s="11">
        <f>(((200*Input!$C$6*($J49))/($B49*($F49)))^0.5)</f>
        <v>25.670778623676725</v>
      </c>
      <c r="X49" s="11">
        <f t="shared" si="2"/>
        <v>14.794824462707679</v>
      </c>
      <c r="Y49" s="26">
        <v>20.5</v>
      </c>
      <c r="Z49" s="26">
        <v>17.2</v>
      </c>
      <c r="AA49" s="26"/>
      <c r="AB49" s="32">
        <f t="shared" si="7"/>
        <v>1.1625687106565465</v>
      </c>
      <c r="AC49" s="32">
        <f t="shared" si="3"/>
        <v>1.3856196842127444</v>
      </c>
      <c r="AD49" s="32">
        <f t="shared" si="4"/>
        <v>0.92661973020176436</v>
      </c>
    </row>
  </sheetData>
  <sheetProtection algorithmName="SHA-512" hashValue="ZEnmTlKEo6fsieJmB4k7DhYFaGnZLGS9oE1OEBOAroywQTVkHLxX5nZ8UN5iuI9Df82NiTOfYzRFXOjZjuoHMA==" saltValue="gZFPjfAIRfXReGwyWYTkXQ==" spinCount="100000" sheet="1" objects="1" scenarios="1" autoFilter="0"/>
  <autoFilter ref="A2:AB49" xr:uid="{00000000-0009-0000-0000-000001000000}">
    <filterColumn colId="25" showButton="0"/>
  </autoFilter>
  <mergeCells count="6">
    <mergeCell ref="L1:M1"/>
    <mergeCell ref="N1:O1"/>
    <mergeCell ref="R1:S1"/>
    <mergeCell ref="T1:U1"/>
    <mergeCell ref="V1:W1"/>
    <mergeCell ref="P1:Q1"/>
  </mergeCells>
  <conditionalFormatting sqref="Y3:AA3">
    <cfRule type="expression" dxfId="14" priority="13">
      <formula>Y3=MIN($Y3:$AA3)</formula>
    </cfRule>
  </conditionalFormatting>
  <conditionalFormatting sqref="Y4:AA49">
    <cfRule type="expression" dxfId="13" priority="10">
      <formula>Y4=MIN($Y4:$AA4)</formula>
    </cfRule>
  </conditionalFormatting>
  <conditionalFormatting sqref="L3:W49">
    <cfRule type="expression" dxfId="12" priority="15">
      <formula>L3=MAX($L3:$W3)</formula>
    </cfRule>
  </conditionalFormatting>
  <conditionalFormatting sqref="L3:W49">
    <cfRule type="expression" dxfId="11" priority="18">
      <formula>L3=MIN($L3:$W3)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49"/>
  <sheetViews>
    <sheetView zoomScale="70" zoomScaleNormal="70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3" sqref="F3"/>
    </sheetView>
  </sheetViews>
  <sheetFormatPr defaultRowHeight="12.75" x14ac:dyDescent="0.2"/>
  <cols>
    <col min="1" max="1" width="9.7109375" style="2" bestFit="1" customWidth="1"/>
    <col min="2" max="2" width="8.42578125" style="4" bestFit="1" customWidth="1"/>
    <col min="3" max="3" width="6.85546875" style="2" bestFit="1" customWidth="1"/>
    <col min="4" max="4" width="9" style="2" bestFit="1" customWidth="1"/>
    <col min="5" max="5" width="9" style="3" bestFit="1" customWidth="1"/>
    <col min="6" max="6" width="9.140625" style="3" customWidth="1"/>
    <col min="7" max="7" width="11.5703125" style="3" bestFit="1" customWidth="1"/>
    <col min="8" max="8" width="9.42578125" style="3" bestFit="1" customWidth="1"/>
    <col min="9" max="9" width="13.85546875" style="3" bestFit="1" customWidth="1"/>
    <col min="10" max="10" width="11.5703125" style="143" bestFit="1" customWidth="1"/>
    <col min="11" max="11" width="11.7109375" style="14" customWidth="1"/>
    <col min="12" max="12" width="12.140625" style="2" customWidth="1"/>
    <col min="13" max="13" width="12.28515625" style="2" customWidth="1"/>
    <col min="14" max="14" width="14.7109375" style="2" bestFit="1" customWidth="1"/>
    <col min="15" max="15" width="11" style="2" bestFit="1" customWidth="1"/>
    <col min="16" max="16" width="12.42578125" style="2" customWidth="1"/>
    <col min="17" max="17" width="11" style="2" customWidth="1"/>
    <col min="18" max="19" width="11.28515625" style="2" customWidth="1"/>
    <col min="20" max="20" width="12.28515625" style="2" customWidth="1"/>
    <col min="21" max="21" width="12.140625" style="2" customWidth="1"/>
    <col min="22" max="22" width="11.7109375" style="2" customWidth="1"/>
    <col min="23" max="23" width="11.28515625" style="2" customWidth="1"/>
    <col min="24" max="24" width="8.7109375" style="2" customWidth="1"/>
    <col min="25" max="25" width="7.7109375" style="2" customWidth="1"/>
    <col min="26" max="26" width="8.5703125" style="2" customWidth="1"/>
    <col min="27" max="27" width="7.7109375" style="2" customWidth="1"/>
    <col min="28" max="28" width="9.28515625" style="2" customWidth="1"/>
    <col min="29" max="29" width="8.28515625" style="2" customWidth="1"/>
    <col min="30" max="30" width="8.85546875" style="2"/>
  </cols>
  <sheetData>
    <row r="1" spans="1:30" s="20" customFormat="1" ht="33.6" customHeight="1" x14ac:dyDescent="0.2">
      <c r="A1" s="15" t="s">
        <v>11</v>
      </c>
      <c r="B1" s="15" t="s">
        <v>0</v>
      </c>
      <c r="C1" s="15" t="s">
        <v>12</v>
      </c>
      <c r="D1" s="15" t="s">
        <v>13</v>
      </c>
      <c r="E1" s="16" t="s">
        <v>15</v>
      </c>
      <c r="F1" s="17" t="s">
        <v>63</v>
      </c>
      <c r="G1" s="16" t="s">
        <v>21</v>
      </c>
      <c r="H1" s="16" t="s">
        <v>22</v>
      </c>
      <c r="I1" s="16" t="s">
        <v>30</v>
      </c>
      <c r="J1" s="16" t="s">
        <v>23</v>
      </c>
      <c r="K1" s="19" t="s">
        <v>28</v>
      </c>
      <c r="L1" s="146" t="s">
        <v>39</v>
      </c>
      <c r="M1" s="146"/>
      <c r="N1" s="147" t="s">
        <v>42</v>
      </c>
      <c r="O1" s="147"/>
      <c r="P1" s="151" t="s">
        <v>51</v>
      </c>
      <c r="Q1" s="151"/>
      <c r="R1" s="148" t="s">
        <v>36</v>
      </c>
      <c r="S1" s="148"/>
      <c r="T1" s="149" t="s">
        <v>47</v>
      </c>
      <c r="U1" s="149"/>
      <c r="V1" s="150" t="s">
        <v>46</v>
      </c>
      <c r="W1" s="150"/>
      <c r="X1" s="29" t="s">
        <v>50</v>
      </c>
      <c r="Y1" s="152" t="s">
        <v>150</v>
      </c>
      <c r="Z1" s="153"/>
      <c r="AA1" s="154"/>
      <c r="AB1" s="15" t="s">
        <v>35</v>
      </c>
      <c r="AC1" s="15" t="s">
        <v>35</v>
      </c>
      <c r="AD1" s="15" t="s">
        <v>59</v>
      </c>
    </row>
    <row r="2" spans="1:30" s="20" customFormat="1" ht="28.5" customHeight="1" x14ac:dyDescent="0.2">
      <c r="A2" s="15"/>
      <c r="B2" s="15"/>
      <c r="C2" s="15"/>
      <c r="D2" s="15" t="s">
        <v>3</v>
      </c>
      <c r="E2" s="16" t="s">
        <v>3</v>
      </c>
      <c r="F2" s="16" t="s">
        <v>25</v>
      </c>
      <c r="G2" s="16" t="s">
        <v>25</v>
      </c>
      <c r="H2" s="16" t="s">
        <v>25</v>
      </c>
      <c r="I2" s="16" t="s">
        <v>3</v>
      </c>
      <c r="J2" s="16" t="s">
        <v>26</v>
      </c>
      <c r="K2" s="19" t="s">
        <v>27</v>
      </c>
      <c r="L2" s="15" t="s">
        <v>41</v>
      </c>
      <c r="M2" s="15" t="s">
        <v>40</v>
      </c>
      <c r="N2" s="15" t="s">
        <v>41</v>
      </c>
      <c r="O2" s="15" t="s">
        <v>40</v>
      </c>
      <c r="P2" s="15" t="s">
        <v>41</v>
      </c>
      <c r="Q2" s="15" t="s">
        <v>40</v>
      </c>
      <c r="R2" s="15" t="s">
        <v>41</v>
      </c>
      <c r="S2" s="15" t="s">
        <v>40</v>
      </c>
      <c r="T2" s="15" t="s">
        <v>41</v>
      </c>
      <c r="U2" s="15" t="s">
        <v>40</v>
      </c>
      <c r="V2" s="15" t="s">
        <v>41</v>
      </c>
      <c r="W2" s="15" t="s">
        <v>40</v>
      </c>
      <c r="X2" s="15" t="s">
        <v>49</v>
      </c>
      <c r="Y2" s="15" t="s">
        <v>151</v>
      </c>
      <c r="Z2" s="15" t="s">
        <v>152</v>
      </c>
      <c r="AA2" s="15" t="s">
        <v>153</v>
      </c>
      <c r="AB2" s="15" t="s">
        <v>34</v>
      </c>
      <c r="AC2" s="15" t="s">
        <v>48</v>
      </c>
      <c r="AD2" s="15" t="s">
        <v>60</v>
      </c>
    </row>
    <row r="3" spans="1:30" x14ac:dyDescent="0.2">
      <c r="A3" s="5">
        <v>0.75</v>
      </c>
      <c r="B3" s="6">
        <v>26.67</v>
      </c>
      <c r="C3" s="5" t="s">
        <v>7</v>
      </c>
      <c r="D3" s="7">
        <v>2.87</v>
      </c>
      <c r="E3" s="8">
        <v>40</v>
      </c>
      <c r="F3" s="8">
        <f>(((3.1428*(B3^2-(B3-2*D3)^2)/4)*7.85/1000)*9.81)+G3</f>
        <v>32.960877590422811</v>
      </c>
      <c r="G3" s="8">
        <f>(3.14*(B3+E3)*E3*Input!C$2/1000000)*9.81</f>
        <v>16.429301424000002</v>
      </c>
      <c r="H3" s="8">
        <f>((3.14*(B3-2*D3)^2)/4*Input!C$3/1000000)*9.81</f>
        <v>3.3734720851650004</v>
      </c>
      <c r="I3" s="8">
        <f>(Input!C$8/1067)*'Insul+Vapour'!B3</f>
        <v>0.41242268041237118</v>
      </c>
      <c r="J3" s="142">
        <f>((3.1428*(B3^4-(B3-(2*D3))^4)/64))/10000</f>
        <v>1.5420886888190499</v>
      </c>
      <c r="K3" s="11">
        <f>(Input!C$9*(Input!C$7+I3)*D3^2)/(0.644*F3*((B3/2)*D3)^0.5)</f>
        <v>421.99173940692492</v>
      </c>
      <c r="L3" s="11">
        <f>((384*Input!$C$4*$J3*Input!$C$5)/(5*$F3*100000))^(1/4)</f>
        <v>2.4818980102786403</v>
      </c>
      <c r="M3" s="11">
        <f>((160*Input!$C$6*$J3)/(B3*$F3))^0.5</f>
        <v>3.0891801435424413</v>
      </c>
      <c r="N3" s="11">
        <f>((384*Input!$C$4*$J3*Input!$C$5)/(($F3*100000)))^(1/4)</f>
        <v>3.7113031647855368</v>
      </c>
      <c r="O3" s="11">
        <f>((240*Input!$C$6*$J3)/($B3*$F3))^0.5</f>
        <v>3.7834575376083381</v>
      </c>
      <c r="P3" s="11">
        <f>((185*Input!$G$4*($J3/(2.54)^4)*(Input!$G$5))/($F3*0.00571))^(1/4)*25.4/1000</f>
        <v>3.0920111370439454</v>
      </c>
      <c r="Q3" s="11">
        <f>(((16*Input!$G$6*($J3/(2.54)^4))/(($B3/25.4)*($F3*0.00571)))^0.5)*25.4/1000</f>
        <v>3.0892440419702858</v>
      </c>
      <c r="R3" s="11">
        <f>((384*Input!$G$4*($J3/(2.54)^4)*(Input!$G$5))/($F3*0.00571))^(1/4)*25.4/1000</f>
        <v>3.7113415479811032</v>
      </c>
      <c r="S3" s="11">
        <f>(((24*Input!$G$6*($J3/(2.54)^4))/(($B3/25.4)*($F3*0.00571)))^0.5)*25.4/1000</f>
        <v>3.7835357968801304</v>
      </c>
      <c r="T3" s="11">
        <f>((Input!$G$4*($J3/(2.54)^4)*(Input!$G$5))/(17.1*$F3*0.06854))^(1/4)*0.3048</f>
        <v>2.6579899707583925</v>
      </c>
      <c r="U3" s="11">
        <f>(((20*Input!$G$6*($J3/(2.54)^4))/(($B3/25.4)*($F3*0.00571)))^0.5)*25.4/1000</f>
        <v>3.4538798384658862</v>
      </c>
      <c r="V3" s="11">
        <f>((384*Input!$C$4*$J3*Input!$C$5)/(3*$F3*100000))^(1/4)</f>
        <v>2.819980584875744</v>
      </c>
      <c r="W3" s="11">
        <f>(((200*Input!$C$6*($J3))/($B3*($F3)))^0.5)</f>
        <v>3.4538083978517284</v>
      </c>
      <c r="X3" s="11">
        <f t="shared" ref="X3:X49" si="0">MIN(L3:W3)</f>
        <v>2.4818980102786403</v>
      </c>
      <c r="Y3" s="26">
        <v>3.5</v>
      </c>
      <c r="Z3" s="26">
        <v>3.5</v>
      </c>
      <c r="AA3" s="26">
        <v>2.5</v>
      </c>
      <c r="AB3" s="27" t="s">
        <v>6</v>
      </c>
      <c r="AC3" s="27" t="s">
        <v>6</v>
      </c>
      <c r="AD3" s="26"/>
    </row>
    <row r="4" spans="1:30" x14ac:dyDescent="0.2">
      <c r="A4" s="5">
        <v>1</v>
      </c>
      <c r="B4" s="6">
        <v>33.4</v>
      </c>
      <c r="C4" s="5" t="s">
        <v>7</v>
      </c>
      <c r="D4" s="7">
        <v>3.38</v>
      </c>
      <c r="E4" s="8">
        <v>40</v>
      </c>
      <c r="F4" s="8">
        <f t="shared" ref="F4:F49" si="1">(((3.1428*(B4^2-(B4-2*D4)^2)/4)*7.85/1000)*9.81)+G4</f>
        <v>42.645179807732873</v>
      </c>
      <c r="G4" s="8">
        <f>(3.14*(B4+E4)*E4*Input!C$2/1000000)*9.81</f>
        <v>18.087756480000003</v>
      </c>
      <c r="H4" s="8">
        <f>((3.14*(B4-2*D4)^2)/4*Input!C$3/1000000)*9.81</f>
        <v>5.4652131561600008</v>
      </c>
      <c r="I4" s="8">
        <f>(Input!C$8/1067)*'Insul+Vapour'!B4</f>
        <v>0.51649484536082479</v>
      </c>
      <c r="J4" s="142">
        <f t="shared" ref="J4:J49" si="2">((3.1428*(B4^4-(B4-(2*D4))^4)/64))/10000</f>
        <v>3.6378636048273156</v>
      </c>
      <c r="K4" s="11">
        <f>(Input!C$9*(Input!C$7+I4)*D4^2)/(0.644*F4*((B4/2)*D4)^0.5)</f>
        <v>372.88347392824664</v>
      </c>
      <c r="L4" s="11">
        <f>((384*Input!$C$4*$J4*Input!$C$5)/(5*$F4*100000))^(1/4)</f>
        <v>2.8840341598742607</v>
      </c>
      <c r="M4" s="11">
        <f>((160*Input!$C$6*$J4)/(B4*$F4))^0.5</f>
        <v>3.7274724948765248</v>
      </c>
      <c r="N4" s="11">
        <f>((384*Input!$C$4*$J4*Input!$C$5)/(($F4*100000)))^(1/4)</f>
        <v>4.3126369659683421</v>
      </c>
      <c r="O4" s="11">
        <f>((240*Input!$C$6*$J4)/($B4*$F4))^0.5</f>
        <v>4.5652028213532345</v>
      </c>
      <c r="P4" s="11">
        <f>((185*Input!$G$4*($J4/(2.54)^4)*(Input!$G$5))/($F4*0.00571))^(1/4)*25.4/1000</f>
        <v>3.5930024944680281</v>
      </c>
      <c r="Q4" s="11">
        <f>(((16*Input!$G$6*($J4/(2.54)^4))/(($B4/25.4)*($F4*0.00571)))^0.5)*25.4/1000</f>
        <v>3.7275495961206042</v>
      </c>
      <c r="R4" s="11">
        <f>((384*Input!$G$4*($J4/(2.54)^4)*(Input!$G$5))/($F4*0.00571))^(1/4)*25.4/1000</f>
        <v>4.3126815683036188</v>
      </c>
      <c r="S4" s="11">
        <f>(((24*Input!$G$6*($J4/(2.54)^4))/(($B4/25.4)*($F4*0.00571)))^0.5)*25.4/1000</f>
        <v>4.5652972507064984</v>
      </c>
      <c r="T4" s="11">
        <f>((Input!$G$4*($J4/(2.54)^4)*(Input!$G$5))/(17.1*$F4*0.06854))^(1/4)*0.3048</f>
        <v>3.0886578902610782</v>
      </c>
      <c r="U4" s="11">
        <f>(((20*Input!$G$6*($J4/(2.54)^4))/(($B4/25.4)*($F4*0.00571)))^0.5)*25.4/1000</f>
        <v>4.1675271432137801</v>
      </c>
      <c r="V4" s="11">
        <f>((384*Input!$C$4*$J4*Input!$C$5)/(3*$F4*100000))^(1/4)</f>
        <v>3.276895466002959</v>
      </c>
      <c r="W4" s="11">
        <f>(((200*Input!$C$6*($J4))/($B4*($F4)))^0.5)</f>
        <v>4.1674409414023224</v>
      </c>
      <c r="X4" s="11">
        <f t="shared" si="0"/>
        <v>2.8840341598742607</v>
      </c>
      <c r="Y4" s="26">
        <v>4.5</v>
      </c>
      <c r="Z4" s="26">
        <v>4</v>
      </c>
      <c r="AA4" s="26">
        <v>3</v>
      </c>
      <c r="AB4" s="26">
        <v>3.3</v>
      </c>
      <c r="AC4" s="26">
        <v>5.2</v>
      </c>
      <c r="AD4" s="32">
        <f>AB4/MIN(L4:W4)</f>
        <v>1.1442305524369638</v>
      </c>
    </row>
    <row r="5" spans="1:30" x14ac:dyDescent="0.2">
      <c r="A5" s="5">
        <v>1.5</v>
      </c>
      <c r="B5" s="6">
        <v>48.26</v>
      </c>
      <c r="C5" s="5" t="s">
        <v>7</v>
      </c>
      <c r="D5" s="7">
        <v>3.68</v>
      </c>
      <c r="E5" s="8">
        <v>50</v>
      </c>
      <c r="F5" s="8">
        <f t="shared" si="1"/>
        <v>69.972246317070713</v>
      </c>
      <c r="G5" s="8">
        <f>(3.14*(B5+E5)*E5*Input!C$2/1000000)*9.81</f>
        <v>30.267420839999996</v>
      </c>
      <c r="H5" s="8">
        <f>((3.14*(B5-2*D5)^2)/4*Input!C$3/1000000)*9.81</f>
        <v>12.882058888500001</v>
      </c>
      <c r="I5" s="8">
        <f>(Input!C$8/1067)*'Insul+Vapour'!B5</f>
        <v>0.74628865979381442</v>
      </c>
      <c r="J5" s="142">
        <f t="shared" si="2"/>
        <v>12.895675761083153</v>
      </c>
      <c r="K5" s="11">
        <f>(Input!C$9*(Input!C$7+I5)*D5^2)/(0.644*F5*((B5/2)*D5)^0.5)</f>
        <v>215.27085834662606</v>
      </c>
      <c r="L5" s="11">
        <f>((384*Input!$C$4*$J5*Input!$C$5)/(5*$F5*100000))^(1/4)</f>
        <v>3.496518711912195</v>
      </c>
      <c r="M5" s="11">
        <f>((160*Input!$C$6*$J5)/(B5*$F5))^0.5</f>
        <v>4.5579014995237994</v>
      </c>
      <c r="N5" s="11">
        <f>((384*Input!$C$4*$J5*Input!$C$5)/(($F5*100000)))^(1/4)</f>
        <v>5.228514994375093</v>
      </c>
      <c r="O5" s="11">
        <f>((240*Input!$C$6*$J5)/($B5*$F5))^0.5</f>
        <v>5.5822664858498072</v>
      </c>
      <c r="P5" s="11">
        <f>((185*Input!$G$4*($J5/(2.54)^4)*(Input!$G$5))/($F5*0.00571))^(1/4)*25.4/1000</f>
        <v>4.3560511968424072</v>
      </c>
      <c r="Q5" s="11">
        <f>(((16*Input!$G$6*($J5/(2.54)^4))/(($B5/25.4)*($F5*0.00571)))^0.5)*25.4/1000</f>
        <v>4.5579957778522093</v>
      </c>
      <c r="R5" s="11">
        <f>((384*Input!$G$4*($J5/(2.54)^4)*(Input!$G$5))/($F5*0.00571))^(1/4)*25.4/1000</f>
        <v>5.2285690689426083</v>
      </c>
      <c r="S5" s="11">
        <f>(((24*Input!$G$6*($J5/(2.54)^4))/(($B5/25.4)*($F5*0.00571)))^0.5)*25.4/1000</f>
        <v>5.5823819527490084</v>
      </c>
      <c r="T5" s="11">
        <f>((Input!$G$4*($J5/(2.54)^4)*(Input!$G$5))/(17.1*$F5*0.06854))^(1/4)*0.3048</f>
        <v>3.7445985412544309</v>
      </c>
      <c r="U5" s="11">
        <f>(((20*Input!$G$6*($J5/(2.54)^4))/(($B5/25.4)*($F5*0.00571)))^0.5)*25.4/1000</f>
        <v>5.0959942002172856</v>
      </c>
      <c r="V5" s="11">
        <f>((384*Input!$C$4*$J5*Input!$C$5)/(3*$F5*100000))^(1/4)</f>
        <v>3.9728122756906306</v>
      </c>
      <c r="W5" s="11">
        <f>(((200*Input!$C$6*($J5))/($B5*($F5)))^0.5)</f>
        <v>5.0958887938417208</v>
      </c>
      <c r="X5" s="11">
        <f t="shared" si="0"/>
        <v>3.496518711912195</v>
      </c>
      <c r="Y5" s="26">
        <v>5</v>
      </c>
      <c r="Z5" s="26">
        <v>5</v>
      </c>
      <c r="AA5" s="26">
        <v>4.5</v>
      </c>
      <c r="AB5" s="26">
        <v>3.9</v>
      </c>
      <c r="AC5" s="26">
        <v>6.3</v>
      </c>
      <c r="AD5" s="32">
        <f>AB5/MIN(L5:W5)</f>
        <v>1.115395146238799</v>
      </c>
    </row>
    <row r="6" spans="1:30" x14ac:dyDescent="0.2">
      <c r="A6" s="5">
        <v>2</v>
      </c>
      <c r="B6" s="6">
        <v>60.32</v>
      </c>
      <c r="C6" s="5" t="s">
        <v>7</v>
      </c>
      <c r="D6" s="7">
        <v>3.91</v>
      </c>
      <c r="E6" s="8">
        <v>50</v>
      </c>
      <c r="F6" s="8">
        <f t="shared" si="1"/>
        <v>87.363502680900751</v>
      </c>
      <c r="G6" s="8">
        <f>(3.14*(B6+E6)*E6*Input!C$2/1000000)*9.81</f>
        <v>33.98231088</v>
      </c>
      <c r="H6" s="8">
        <f>((3.14*(B6-2*D6)^2)/4*Input!C$3/1000000)*9.81</f>
        <v>21.2254678125</v>
      </c>
      <c r="I6" s="8">
        <f>(Input!C$8/1067)*'Insul+Vapour'!B6</f>
        <v>0.93278350515463926</v>
      </c>
      <c r="J6" s="142">
        <f t="shared" si="2"/>
        <v>27.70469366885397</v>
      </c>
      <c r="K6" s="11">
        <f>(Input!C$9*(Input!C$7+I6)*D6^2)/(0.644*F6*((B6/2)*D6)^0.5)</f>
        <v>169.21568454844362</v>
      </c>
      <c r="L6" s="11">
        <f>((384*Input!$C$4*$J6*Input!$C$5)/(5*$F6*100000))^(1/4)</f>
        <v>4.0046273878640291</v>
      </c>
      <c r="M6" s="11">
        <f>((160*Input!$C$6*$J6)/(B6*$F6))^0.5</f>
        <v>5.3478650637885172</v>
      </c>
      <c r="N6" s="11">
        <f>((384*Input!$C$4*$J6*Input!$C$5)/(($F6*100000)))^(1/4)</f>
        <v>5.9883146836875962</v>
      </c>
      <c r="O6" s="11">
        <f>((240*Input!$C$6*$J6)/($B6*$F6))^0.5</f>
        <v>6.5497703097692392</v>
      </c>
      <c r="P6" s="11">
        <f>((185*Input!$G$4*($J6/(2.54)^4)*(Input!$G$5))/($F6*0.00571))^(1/4)*25.4/1000</f>
        <v>4.9890658003294108</v>
      </c>
      <c r="Q6" s="11">
        <f>(((16*Input!$G$6*($J6/(2.54)^4))/(($B6/25.4)*($F6*0.00571)))^0.5)*25.4/1000</f>
        <v>5.3479756821901701</v>
      </c>
      <c r="R6" s="11">
        <f>((384*Input!$G$4*($J6/(2.54)^4)*(Input!$G$5))/($F6*0.00571))^(1/4)*25.4/1000</f>
        <v>5.988376616287387</v>
      </c>
      <c r="S6" s="11">
        <f>(((24*Input!$G$6*($J6/(2.54)^4))/(($B6/25.4)*($F6*0.00571)))^0.5)*25.4/1000</f>
        <v>6.5499057890893448</v>
      </c>
      <c r="T6" s="11">
        <f>((Input!$G$4*($J6/(2.54)^4)*(Input!$G$5))/(17.1*$F6*0.06854))^(1/4)*0.3048</f>
        <v>4.2887577932229171</v>
      </c>
      <c r="U6" s="11">
        <f>(((20*Input!$G$6*($J6/(2.54)^4))/(($B6/25.4)*($F6*0.00571)))^0.5)*25.4/1000</f>
        <v>5.9792185836965155</v>
      </c>
      <c r="V6" s="11">
        <f>((384*Input!$C$4*$J6*Input!$C$5)/(3*$F6*100000))^(1/4)</f>
        <v>4.5501351935772636</v>
      </c>
      <c r="W6" s="11">
        <f>(((200*Input!$C$6*($J6))/($B6*($F6)))^0.5)</f>
        <v>5.9790949085636855</v>
      </c>
      <c r="X6" s="11">
        <f t="shared" si="0"/>
        <v>4.0046273878640291</v>
      </c>
      <c r="Y6" s="26">
        <v>5.5</v>
      </c>
      <c r="Z6" s="26">
        <v>5</v>
      </c>
      <c r="AA6" s="26">
        <v>4.5</v>
      </c>
      <c r="AB6" s="26">
        <v>4.25</v>
      </c>
      <c r="AC6" s="26">
        <v>7.1</v>
      </c>
      <c r="AD6" s="32">
        <f>AB6/MIN(L6:W6)</f>
        <v>1.0612722703938873</v>
      </c>
    </row>
    <row r="7" spans="1:30" x14ac:dyDescent="0.2">
      <c r="A7" s="5">
        <v>2.5</v>
      </c>
      <c r="B7" s="6">
        <v>73.02</v>
      </c>
      <c r="C7" s="5" t="s">
        <v>7</v>
      </c>
      <c r="D7" s="7">
        <v>5.16</v>
      </c>
      <c r="E7" s="8">
        <v>50</v>
      </c>
      <c r="F7" s="8">
        <f t="shared" si="1"/>
        <v>122.64029522665484</v>
      </c>
      <c r="G7" s="8">
        <f>(3.14*(B7+E7)*E7*Input!C$2/1000000)*9.81</f>
        <v>37.894342680000001</v>
      </c>
      <c r="H7" s="8">
        <f>((3.14*(B7-2*D7)^2)/4*Input!C$3/1000000)*9.81</f>
        <v>30.2742745965</v>
      </c>
      <c r="I7" s="8">
        <f>(Input!C$8/1067)*'Insul+Vapour'!B7</f>
        <v>1.1291752577319587</v>
      </c>
      <c r="J7" s="142">
        <f t="shared" si="2"/>
        <v>63.712089330080417</v>
      </c>
      <c r="K7" s="11">
        <f>(Input!C$9*(Input!C$7+I7)*D7^2)/(0.644*F7*((B7/2)*D7)^0.5)</f>
        <v>166.41821115979621</v>
      </c>
      <c r="L7" s="11">
        <f>((384*Input!$C$4*$J7*Input!$C$5)/(5*$F7*100000))^(1/4)</f>
        <v>4.5305763076972969</v>
      </c>
      <c r="M7" s="11">
        <f>((160*Input!$C$6*$J7)/(B7*$F7))^0.5</f>
        <v>6.2211814092023525</v>
      </c>
      <c r="N7" s="11">
        <f>((384*Input!$C$4*$J7*Input!$C$5)/(($F7*100000)))^(1/4)</f>
        <v>6.7747917599448906</v>
      </c>
      <c r="O7" s="11">
        <f>((240*Input!$C$6*$J7)/($B7*$F7))^0.5</f>
        <v>7.6193600249172801</v>
      </c>
      <c r="P7" s="11">
        <f>((185*Input!$G$4*($J7/(2.54)^4)*(Input!$G$5))/($F7*0.00571))^(1/4)*25.4/1000</f>
        <v>5.6443062295919031</v>
      </c>
      <c r="Q7" s="11">
        <f>(((16*Input!$G$6*($J7/(2.54)^4))/(($B7/25.4)*($F7*0.00571)))^0.5)*25.4/1000</f>
        <v>6.2213100917954396</v>
      </c>
      <c r="R7" s="11">
        <f>((384*Input!$G$4*($J7/(2.54)^4)*(Input!$G$5))/($F7*0.00571))^(1/4)*25.4/1000</f>
        <v>6.7748618264809553</v>
      </c>
      <c r="S7" s="11">
        <f>(((24*Input!$G$6*($J7/(2.54)^4))/(($B7/25.4)*($F7*0.00571)))^0.5)*25.4/1000</f>
        <v>7.6195176282631998</v>
      </c>
      <c r="T7" s="11">
        <f>((Input!$G$4*($J7/(2.54)^4)*(Input!$G$5))/(17.1*$F7*0.06854))^(1/4)*0.3048</f>
        <v>4.8520230636967376</v>
      </c>
      <c r="U7" s="11">
        <f>(((20*Input!$G$6*($J7/(2.54)^4))/(($B7/25.4)*($F7*0.00571)))^0.5)*25.4/1000</f>
        <v>6.9556361371800293</v>
      </c>
      <c r="V7" s="11">
        <f>((384*Input!$C$4*$J7*Input!$C$5)/(3*$F7*100000))^(1/4)</f>
        <v>5.1477285420644865</v>
      </c>
      <c r="W7" s="11">
        <f>(((200*Input!$C$6*($J7))/($B7*($F7)))^0.5)</f>
        <v>6.9554922656671989</v>
      </c>
      <c r="X7" s="11">
        <f t="shared" si="0"/>
        <v>4.5305763076972969</v>
      </c>
      <c r="Y7" s="26">
        <v>6.5</v>
      </c>
      <c r="Z7" s="26">
        <v>6</v>
      </c>
      <c r="AA7" s="26">
        <v>5</v>
      </c>
      <c r="AB7" s="26" t="s">
        <v>6</v>
      </c>
      <c r="AC7" s="26" t="s">
        <v>6</v>
      </c>
      <c r="AD7" s="33" t="s">
        <v>6</v>
      </c>
    </row>
    <row r="8" spans="1:30" x14ac:dyDescent="0.2">
      <c r="A8" s="9">
        <v>3</v>
      </c>
      <c r="B8" s="6">
        <v>88.9</v>
      </c>
      <c r="C8" s="5" t="s">
        <v>7</v>
      </c>
      <c r="D8" s="7">
        <v>5.49</v>
      </c>
      <c r="E8" s="8">
        <v>100</v>
      </c>
      <c r="F8" s="8">
        <f t="shared" si="1"/>
        <v>227.20232095537847</v>
      </c>
      <c r="G8" s="8">
        <f>(3.14*(B8+E8)*E8*Input!C$2/1000000)*9.81</f>
        <v>116.37524520000004</v>
      </c>
      <c r="H8" s="8">
        <f>((3.14*(B8-2*D8)^2)/4*Input!C$3/1000000)*9.81</f>
        <v>46.755914077440003</v>
      </c>
      <c r="I8" s="8">
        <f>(Input!C$8/1067)*'Insul+Vapour'!B8</f>
        <v>1.3747422680412373</v>
      </c>
      <c r="J8" s="142">
        <f t="shared" si="2"/>
        <v>125.6987191076508</v>
      </c>
      <c r="K8" s="11">
        <f>(Input!C$9*(Input!C$7+I8)*D8^2)/(0.644*F8*((B8/2)*D8)^0.5)</f>
        <v>89.562986933412674</v>
      </c>
      <c r="L8" s="11">
        <f>((384*Input!$C$4*$J8*Input!$C$5)/(5*$F8*100000))^(1/4)</f>
        <v>4.6024153206861094</v>
      </c>
      <c r="M8" s="11">
        <f>((160*Input!$C$6*$J8)/(B8*$F8))^0.5</f>
        <v>5.8184541137461627</v>
      </c>
      <c r="N8" s="11">
        <f>((384*Input!$C$4*$J8*Input!$C$5)/(($F8*100000)))^(1/4)</f>
        <v>6.8822161404618472</v>
      </c>
      <c r="O8" s="11">
        <f>((240*Input!$C$6*$J8)/($B8*$F8))^0.5</f>
        <v>7.1261218352379068</v>
      </c>
      <c r="P8" s="11">
        <f>((185*Input!$G$4*($J8/(2.54)^4)*(Input!$G$5))/($F8*0.00571))^(1/4)*25.4/1000</f>
        <v>5.7338050838219026</v>
      </c>
      <c r="Q8" s="11">
        <f>(((16*Input!$G$6*($J8/(2.54)^4))/(($B8/25.4)*($F8*0.00571)))^0.5)*25.4/1000</f>
        <v>5.8185744660898511</v>
      </c>
      <c r="R8" s="11">
        <f>((384*Input!$G$4*($J8/(2.54)^4)*(Input!$G$5))/($F8*0.00571))^(1/4)*25.4/1000</f>
        <v>6.8822873180068536</v>
      </c>
      <c r="S8" s="11">
        <f>(((24*Input!$G$6*($J8/(2.54)^4))/(($B8/25.4)*($F8*0.00571)))^0.5)*25.4/1000</f>
        <v>7.1262692361535995</v>
      </c>
      <c r="T8" s="11">
        <f>((Input!$G$4*($J8/(2.54)^4)*(Input!$G$5))/(17.1*$F8*0.06854))^(1/4)*0.3048</f>
        <v>4.9289590921889017</v>
      </c>
      <c r="U8" s="11">
        <f>(((20*Input!$G$6*($J8/(2.54)^4))/(($B8/25.4)*($F8*0.00571)))^0.5)*25.4/1000</f>
        <v>6.5053640191607265</v>
      </c>
      <c r="V8" s="11">
        <f>((384*Input!$C$4*$J8*Input!$C$5)/(3*$F8*100000))^(1/4)</f>
        <v>5.229353419890284</v>
      </c>
      <c r="W8" s="11">
        <f>(((200*Input!$C$6*($J8))/($B8*($F8)))^0.5)</f>
        <v>6.5052294611498569</v>
      </c>
      <c r="X8" s="11">
        <f t="shared" si="0"/>
        <v>4.6024153206861094</v>
      </c>
      <c r="Y8" s="26">
        <v>7.5</v>
      </c>
      <c r="Z8" s="26">
        <v>6.5</v>
      </c>
      <c r="AA8" s="26">
        <v>5.5</v>
      </c>
      <c r="AB8" s="26">
        <v>4.8</v>
      </c>
      <c r="AC8" s="26">
        <v>8.1999999999999993</v>
      </c>
      <c r="AD8" s="32">
        <f t="shared" ref="AD8:AD18" si="3">AB8/MIN(L8:W8)</f>
        <v>1.0429306495712853</v>
      </c>
    </row>
    <row r="9" spans="1:30" x14ac:dyDescent="0.2">
      <c r="A9" s="9">
        <v>4</v>
      </c>
      <c r="B9" s="6">
        <v>114.3</v>
      </c>
      <c r="C9" s="5" t="s">
        <v>7</v>
      </c>
      <c r="D9" s="7">
        <v>6.02</v>
      </c>
      <c r="E9" s="8">
        <v>100</v>
      </c>
      <c r="F9" s="8">
        <f t="shared" si="1"/>
        <v>289.78455275234944</v>
      </c>
      <c r="G9" s="8">
        <f>(3.14*(B9+E9)*E9*Input!C$2/1000000)*9.81</f>
        <v>132.02337240000003</v>
      </c>
      <c r="H9" s="8">
        <f>((3.14*(B9-2*D9)^2)/4*Input!C$3/1000000)*9.81</f>
        <v>80.528617061459997</v>
      </c>
      <c r="I9" s="8">
        <f>(Input!C$8/1067)*'Insul+Vapour'!B9</f>
        <v>1.7675257731958762</v>
      </c>
      <c r="J9" s="142">
        <f t="shared" si="2"/>
        <v>301.16764717117178</v>
      </c>
      <c r="K9" s="11">
        <f>(Input!C$9*(Input!C$7+I9)*D9^2)/(0.644*F9*((B9/2)*D9)^0.5)</f>
        <v>71.385423351142407</v>
      </c>
      <c r="L9" s="11">
        <f>((384*Input!$C$4*$J9*Input!$C$5)/(5*$F9*100000))^(1/4)</f>
        <v>5.3881484898728562</v>
      </c>
      <c r="M9" s="11">
        <f>((160*Input!$C$6*$J9)/(B9*$F9))^0.5</f>
        <v>7.03303659318013</v>
      </c>
      <c r="N9" s="11">
        <f>((384*Input!$C$4*$J9*Input!$C$5)/(($F9*100000)))^(1/4)</f>
        <v>8.0571612773703354</v>
      </c>
      <c r="O9" s="11">
        <f>((240*Input!$C$6*$J9)/($B9*$F9))^0.5</f>
        <v>8.6136754978067387</v>
      </c>
      <c r="P9" s="11">
        <f>((185*Input!$G$4*($J9/(2.54)^4)*(Input!$G$5))/($F9*0.00571))^(1/4)*25.4/1000</f>
        <v>6.7126912829359027</v>
      </c>
      <c r="Q9" s="11">
        <f>(((16*Input!$G$6*($J9/(2.54)^4))/(($B9/25.4)*($F9*0.00571)))^0.5)*25.4/1000</f>
        <v>7.0331820686656599</v>
      </c>
      <c r="R9" s="11">
        <f>((384*Input!$G$4*($J9/(2.54)^4)*(Input!$G$5))/($F9*0.00571))^(1/4)*25.4/1000</f>
        <v>8.0572446064823158</v>
      </c>
      <c r="S9" s="11">
        <f>(((24*Input!$G$6*($J9/(2.54)^4))/(($B9/25.4)*($F9*0.00571)))^0.5)*25.4/1000</f>
        <v>8.6138536681615534</v>
      </c>
      <c r="T9" s="11">
        <f>((Input!$G$4*($J9/(2.54)^4)*(Input!$G$5))/(17.1*$F9*0.06854))^(1/4)*0.3048</f>
        <v>5.7704404402303187</v>
      </c>
      <c r="U9" s="11">
        <f>(((20*Input!$G$6*($J9/(2.54)^4))/(($B9/25.4)*($F9*0.00571)))^0.5)*25.4/1000</f>
        <v>7.8633366018345061</v>
      </c>
      <c r="V9" s="11">
        <f>((384*Input!$C$4*$J9*Input!$C$5)/(3*$F9*100000))^(1/4)</f>
        <v>6.12211866359615</v>
      </c>
      <c r="W9" s="11">
        <f>(((200*Input!$C$6*($J9))/($B9*($F9)))^0.5)</f>
        <v>7.8631739552971522</v>
      </c>
      <c r="X9" s="11">
        <f t="shared" si="0"/>
        <v>5.3881484898728562</v>
      </c>
      <c r="Y9" s="26">
        <v>8</v>
      </c>
      <c r="Z9" s="26">
        <v>7.5</v>
      </c>
      <c r="AA9" s="26">
        <v>6.5</v>
      </c>
      <c r="AB9" s="26">
        <v>6.45</v>
      </c>
      <c r="AC9" s="26"/>
      <c r="AD9" s="32">
        <f t="shared" si="3"/>
        <v>1.1970716865214308</v>
      </c>
    </row>
    <row r="10" spans="1:30" x14ac:dyDescent="0.2">
      <c r="A10" s="9">
        <v>6</v>
      </c>
      <c r="B10" s="6">
        <v>168.27</v>
      </c>
      <c r="C10" s="5" t="s">
        <v>7</v>
      </c>
      <c r="D10" s="7">
        <v>7.11</v>
      </c>
      <c r="E10" s="8">
        <v>100</v>
      </c>
      <c r="F10" s="8">
        <f t="shared" si="1"/>
        <v>442.59324977417691</v>
      </c>
      <c r="G10" s="8">
        <f>(3.14*(B10+E10)*E10*Input!C$2/1000000)*9.81</f>
        <v>165.27256236000002</v>
      </c>
      <c r="H10" s="8">
        <f>((3.14*(B10-2*D10)^2)/4*Input!C$3/1000000)*9.81</f>
        <v>182.75197094212504</v>
      </c>
      <c r="I10" s="8">
        <f>(Input!C$8/1067)*'Insul+Vapour'!B10</f>
        <v>2.6021134020618559</v>
      </c>
      <c r="J10" s="142">
        <f t="shared" si="2"/>
        <v>1171.4199313728818</v>
      </c>
      <c r="K10" s="11">
        <f>(Input!C$9*(Input!C$7+I10)*D10^2)/(0.644*F10*((B10/2)*D10)^0.5)</f>
        <v>49.849006527063537</v>
      </c>
      <c r="L10" s="11">
        <f>((384*Input!$C$4*$J10*Input!$C$5)/(5*$F10*100000))^(1/4)</f>
        <v>6.8066471902193362</v>
      </c>
      <c r="M10" s="11">
        <f>((160*Input!$C$6*$J10)/(B10*$F10))^0.5</f>
        <v>9.2501763849637655</v>
      </c>
      <c r="N10" s="11">
        <f>((384*Input!$C$4*$J10*Input!$C$5)/(($F10*100000)))^(1/4)</f>
        <v>10.178311580097327</v>
      </c>
      <c r="O10" s="11">
        <f>((240*Input!$C$6*$J10)/($B10*$F10))^0.5</f>
        <v>11.329106086951962</v>
      </c>
      <c r="P10" s="11">
        <f>((185*Input!$G$4*($J10/(2.54)^4)*(Input!$G$5))/($F10*0.00571))^(1/4)*25.4/1000</f>
        <v>8.4798927397198796</v>
      </c>
      <c r="Q10" s="11">
        <f>(((16*Input!$G$6*($J10/(2.54)^4))/(($B10/25.4)*($F10*0.00571)))^0.5)*25.4/1000</f>
        <v>9.2503677210791153</v>
      </c>
      <c r="R10" s="11">
        <f>((384*Input!$G$4*($J10/(2.54)^4)*(Input!$G$5))/($F10*0.00571))^(1/4)*25.4/1000</f>
        <v>10.178416846659115</v>
      </c>
      <c r="S10" s="11">
        <f>(((24*Input!$G$6*($J10/(2.54)^4))/(($B10/25.4)*($F10*0.00571)))^0.5)*25.4/1000</f>
        <v>11.329340424877948</v>
      </c>
      <c r="T10" s="11">
        <f>((Input!$G$4*($J10/(2.54)^4)*(Input!$G$5))/(17.1*$F10*0.06854))^(1/4)*0.3048</f>
        <v>7.2895823644512365</v>
      </c>
      <c r="U10" s="11">
        <f>(((20*Input!$G$6*($J10/(2.54)^4))/(($B10/25.4)*($F10*0.00571)))^0.5)*25.4/1000</f>
        <v>10.342225520601358</v>
      </c>
      <c r="V10" s="11">
        <f>((384*Input!$C$4*$J10*Input!$C$5)/(3*$F10*100000))^(1/4)</f>
        <v>7.7338443582387981</v>
      </c>
      <c r="W10" s="11">
        <f>(((200*Input!$C$6*($J10))/($B10*($F10)))^0.5)</f>
        <v>10.342011600321122</v>
      </c>
      <c r="X10" s="11">
        <f t="shared" si="0"/>
        <v>6.8066471902193362</v>
      </c>
      <c r="Y10" s="26">
        <v>10</v>
      </c>
      <c r="Z10" s="26">
        <v>9.5</v>
      </c>
      <c r="AA10" s="26">
        <v>8.5</v>
      </c>
      <c r="AB10" s="26">
        <v>7.95</v>
      </c>
      <c r="AC10" s="26"/>
      <c r="AD10" s="32">
        <f t="shared" si="3"/>
        <v>1.1679759179267555</v>
      </c>
    </row>
    <row r="11" spans="1:30" x14ac:dyDescent="0.2">
      <c r="A11" s="9">
        <v>8</v>
      </c>
      <c r="B11" s="6">
        <v>219.07</v>
      </c>
      <c r="C11" s="5" t="s">
        <v>7</v>
      </c>
      <c r="D11" s="7">
        <v>8.18</v>
      </c>
      <c r="E11" s="8">
        <v>120</v>
      </c>
      <c r="F11" s="8">
        <f t="shared" si="1"/>
        <v>668.17611360656679</v>
      </c>
      <c r="G11" s="8">
        <f>(3.14*(B11+E11)*E11*Input!C$2/1000000)*9.81</f>
        <v>250.66821211200005</v>
      </c>
      <c r="H11" s="8">
        <f>((3.14*(B11-2*D11)^2)/4*Input!C$3/1000000)*9.81</f>
        <v>316.43827721248505</v>
      </c>
      <c r="I11" s="8">
        <f>(Input!C$8/1067)*'Insul+Vapour'!B11</f>
        <v>3.3876804123711342</v>
      </c>
      <c r="J11" s="142">
        <f t="shared" si="2"/>
        <v>3018.5677673902569</v>
      </c>
      <c r="K11" s="11">
        <f>(Input!C$9*(Input!C$7+I11)*D11^2)/(0.644*F11*((B11/2)*D11)^0.5)</f>
        <v>35.984898339016439</v>
      </c>
      <c r="L11" s="11">
        <f>((384*Input!$C$4*$J11*Input!$C$5)/(5*$F11*100000))^(1/4)</f>
        <v>7.7800749459309131</v>
      </c>
      <c r="M11" s="11">
        <f>((160*Input!$C$6*$J11)/(B11*$F11))^0.5</f>
        <v>10.591634554603377</v>
      </c>
      <c r="N11" s="11">
        <f>((384*Input!$C$4*$J11*Input!$C$5)/(($F11*100000)))^(1/4)</f>
        <v>11.633925588207546</v>
      </c>
      <c r="O11" s="11">
        <f>((240*Input!$C$6*$J11)/($B11*$F11))^0.5</f>
        <v>12.972050100404424</v>
      </c>
      <c r="P11" s="11">
        <f>((185*Input!$G$4*($J11/(2.54)^4)*(Input!$G$5))/($F11*0.00571))^(1/4)*25.4/1000</f>
        <v>9.6926135885632938</v>
      </c>
      <c r="Q11" s="11">
        <f>(((16*Input!$G$6*($J11/(2.54)^4))/(($B11/25.4)*($F11*0.00571)))^0.5)*25.4/1000</f>
        <v>10.591853638232331</v>
      </c>
      <c r="R11" s="11">
        <f>((384*Input!$G$4*($J11/(2.54)^4)*(Input!$G$5))/($F11*0.00571))^(1/4)*25.4/1000</f>
        <v>11.634045909081701</v>
      </c>
      <c r="S11" s="11">
        <f>(((24*Input!$G$6*($J11/(2.54)^4))/(($B11/25.4)*($F11*0.00571)))^0.5)*25.4/1000</f>
        <v>12.972318421955389</v>
      </c>
      <c r="T11" s="11">
        <f>((Input!$G$4*($J11/(2.54)^4)*(Input!$G$5))/(17.1*$F11*0.06854))^(1/4)*0.3048</f>
        <v>8.3320753279911628</v>
      </c>
      <c r="U11" s="11">
        <f>(((20*Input!$G$6*($J11/(2.54)^4))/(($B11/25.4)*($F11*0.00571)))^0.5)*25.4/1000</f>
        <v>11.842052371407977</v>
      </c>
      <c r="V11" s="11">
        <f>((384*Input!$C$4*$J11*Input!$C$5)/(3*$F11*100000))^(1/4)</f>
        <v>8.8398718261352869</v>
      </c>
      <c r="W11" s="11">
        <f>(((200*Input!$C$6*($J11))/($B11*($F11)))^0.5)</f>
        <v>11.841807428464429</v>
      </c>
      <c r="X11" s="11">
        <f t="shared" si="0"/>
        <v>7.7800749459309131</v>
      </c>
      <c r="Y11" s="26">
        <v>12</v>
      </c>
      <c r="Z11" s="26">
        <v>11</v>
      </c>
      <c r="AA11" s="26">
        <v>10</v>
      </c>
      <c r="AB11" s="26">
        <v>9.1</v>
      </c>
      <c r="AC11" s="26"/>
      <c r="AD11" s="32">
        <f t="shared" si="3"/>
        <v>1.1696545423073881</v>
      </c>
    </row>
    <row r="12" spans="1:30" x14ac:dyDescent="0.2">
      <c r="A12" s="9">
        <v>10</v>
      </c>
      <c r="B12" s="6">
        <v>273.05</v>
      </c>
      <c r="C12" s="5" t="s">
        <v>7</v>
      </c>
      <c r="D12" s="7">
        <v>9.27</v>
      </c>
      <c r="E12" s="8">
        <v>120</v>
      </c>
      <c r="F12" s="8">
        <f t="shared" si="1"/>
        <v>882.3774206897001</v>
      </c>
      <c r="G12" s="8">
        <f>(3.14*(B12+E12)*E12*Input!C$2/1000000)*9.81</f>
        <v>290.57463288000002</v>
      </c>
      <c r="H12" s="8">
        <f>((3.14*(B12-2*D12)^2)/4*Input!C$3/1000000)*9.81</f>
        <v>498.82517780908506</v>
      </c>
      <c r="I12" s="8">
        <f>(Input!C$8/1067)*'Insul+Vapour'!B12</f>
        <v>4.2224226804123717</v>
      </c>
      <c r="J12" s="142">
        <f t="shared" si="2"/>
        <v>6692.1877553114891</v>
      </c>
      <c r="K12" s="11">
        <f>(Input!C$9*(Input!C$7+I12)*D12^2)/(0.644*F12*((B12/2)*D12)^0.5)</f>
        <v>29.683097722753448</v>
      </c>
      <c r="L12" s="11">
        <f>((384*Input!$C$4*$J12*Input!$C$5)/(5*$F12*100000))^(1/4)</f>
        <v>8.8559410549020487</v>
      </c>
      <c r="M12" s="11">
        <f>((160*Input!$C$6*$J12)/(B12*$F12))^0.5</f>
        <v>12.292358698197427</v>
      </c>
      <c r="N12" s="11">
        <f>((384*Input!$C$4*$J12*Input!$C$5)/(($F12*100000)))^(1/4)</f>
        <v>13.242720663014753</v>
      </c>
      <c r="O12" s="11">
        <f>((240*Input!$C$6*$J12)/($B12*$F12))^0.5</f>
        <v>15.05500327292309</v>
      </c>
      <c r="P12" s="11">
        <f>((185*Input!$G$4*($J12/(2.54)^4)*(Input!$G$5))/($F12*0.00571))^(1/4)*25.4/1000</f>
        <v>11.032954721490597</v>
      </c>
      <c r="Q12" s="11">
        <f>(((16*Input!$G$6*($J12/(2.54)^4))/(($B12/25.4)*($F12*0.00571)))^0.5)*25.4/1000</f>
        <v>12.292612960609722</v>
      </c>
      <c r="R12" s="11">
        <f>((384*Input!$G$4*($J12/(2.54)^4)*(Input!$G$5))/($F12*0.00571))^(1/4)*25.4/1000</f>
        <v>13.242857622436944</v>
      </c>
      <c r="S12" s="11">
        <f>(((24*Input!$G$6*($J12/(2.54)^4))/(($B12/25.4)*($F12*0.00571)))^0.5)*25.4/1000</f>
        <v>15.055314679508534</v>
      </c>
      <c r="T12" s="11">
        <f>((Input!$G$4*($J12/(2.54)^4)*(Input!$G$5))/(17.1*$F12*0.06854))^(1/4)*0.3048</f>
        <v>9.4842746994726213</v>
      </c>
      <c r="U12" s="11">
        <f>(((20*Input!$G$6*($J12/(2.54)^4))/(($B12/25.4)*($F12*0.00571)))^0.5)*25.4/1000</f>
        <v>13.74355910050914</v>
      </c>
      <c r="V12" s="11">
        <f>((384*Input!$C$4*$J12*Input!$C$5)/(3*$F12*100000))^(1/4)</f>
        <v>10.062291734874323</v>
      </c>
      <c r="W12" s="11">
        <f>(((200*Input!$C$6*($J12))/($B12*($F12)))^0.5)</f>
        <v>13.743274826490135</v>
      </c>
      <c r="X12" s="11">
        <f t="shared" si="0"/>
        <v>8.8559410549020487</v>
      </c>
      <c r="Y12" s="26">
        <v>13.5</v>
      </c>
      <c r="Z12" s="26">
        <v>13</v>
      </c>
      <c r="AA12" s="26">
        <v>12</v>
      </c>
      <c r="AB12" s="26">
        <v>10.3</v>
      </c>
      <c r="AC12" s="26"/>
      <c r="AD12" s="32">
        <f t="shared" si="3"/>
        <v>1.1630610384763818</v>
      </c>
    </row>
    <row r="13" spans="1:30" x14ac:dyDescent="0.2">
      <c r="A13" s="9">
        <v>12</v>
      </c>
      <c r="B13" s="6">
        <v>323.85000000000002</v>
      </c>
      <c r="C13" s="5" t="s">
        <v>8</v>
      </c>
      <c r="D13" s="7">
        <v>9.5299999999999994</v>
      </c>
      <c r="E13" s="8">
        <v>120</v>
      </c>
      <c r="F13" s="8">
        <f t="shared" si="1"/>
        <v>1053.1006216695607</v>
      </c>
      <c r="G13" s="8">
        <f>(3.14*(B13+E13)*E13*Input!C$2/1000000)*9.81</f>
        <v>328.13013816000006</v>
      </c>
      <c r="H13" s="8">
        <f>((3.14*(B13-2*D13)^2)/4*Input!C$3/1000000)*9.81</f>
        <v>715.38543197248509</v>
      </c>
      <c r="I13" s="8">
        <f>(Input!C$8/1067)*'Insul+Vapour'!B13</f>
        <v>5.0079896907216499</v>
      </c>
      <c r="J13" s="142">
        <f t="shared" si="2"/>
        <v>11636.831740852953</v>
      </c>
      <c r="K13" s="11">
        <f>(Input!C$9*(Input!C$7+I13)*D13^2)/(0.644*F13*((B13/2)*D13)^0.5)</f>
        <v>23.984121112758039</v>
      </c>
      <c r="L13" s="11">
        <f>((384*Input!$C$4*$J13*Input!$C$5)/(5*$F13*100000))^(1/4)</f>
        <v>9.7296564542485307</v>
      </c>
      <c r="M13" s="11">
        <f>((160*Input!$C$6*$J13)/(B13*$F13))^0.5</f>
        <v>13.624166485032518</v>
      </c>
      <c r="N13" s="11">
        <f>((384*Input!$C$4*$J13*Input!$C$5)/(($F13*100000)))^(1/4)</f>
        <v>14.54922992056172</v>
      </c>
      <c r="O13" s="11">
        <f>((240*Input!$C$6*$J13)/($B13*$F13))^0.5</f>
        <v>16.686128029528749</v>
      </c>
      <c r="P13" s="11">
        <f>((185*Input!$G$4*($J13/(2.54)^4)*(Input!$G$5))/($F13*0.00571))^(1/4)*25.4/1000</f>
        <v>12.121451401933486</v>
      </c>
      <c r="Q13" s="11">
        <f>(((16*Input!$G$6*($J13/(2.54)^4))/(($B13/25.4)*($F13*0.00571)))^0.5)*25.4/1000</f>
        <v>13.624448295344193</v>
      </c>
      <c r="R13" s="11">
        <f>((384*Input!$G$4*($J13/(2.54)^4)*(Input!$G$5))/($F13*0.00571))^(1/4)*25.4/1000</f>
        <v>14.549380392218863</v>
      </c>
      <c r="S13" s="11">
        <f>(((24*Input!$G$6*($J13/(2.54)^4))/(($B13/25.4)*($F13*0.00571)))^0.5)*25.4/1000</f>
        <v>16.68647317526268</v>
      </c>
      <c r="T13" s="11">
        <f>((Input!$G$4*($J13/(2.54)^4)*(Input!$G$5))/(17.1*$F13*0.06854))^(1/4)*0.3048</f>
        <v>10.419980662869316</v>
      </c>
      <c r="U13" s="11">
        <f>(((20*Input!$G$6*($J13/(2.54)^4))/(($B13/25.4)*($F13*0.00571)))^0.5)*25.4/1000</f>
        <v>15.232596272160373</v>
      </c>
      <c r="V13" s="11">
        <f>((384*Input!$C$4*$J13*Input!$C$5)/(3*$F13*100000))^(1/4)</f>
        <v>11.055024092392681</v>
      </c>
      <c r="W13" s="11">
        <f>(((200*Input!$C$6*($J13))/($B13*($F13)))^0.5)</f>
        <v>15.23228119865354</v>
      </c>
      <c r="X13" s="11">
        <f t="shared" si="0"/>
        <v>9.7296564542485307</v>
      </c>
      <c r="Y13" s="26">
        <v>14.5</v>
      </c>
      <c r="Z13" s="26">
        <v>13.5</v>
      </c>
      <c r="AA13" s="26">
        <v>13</v>
      </c>
      <c r="AB13" s="26">
        <v>11.3</v>
      </c>
      <c r="AC13" s="26"/>
      <c r="AD13" s="32">
        <f t="shared" si="3"/>
        <v>1.1613976354803122</v>
      </c>
    </row>
    <row r="14" spans="1:30" x14ac:dyDescent="0.2">
      <c r="A14" s="9">
        <v>14</v>
      </c>
      <c r="B14" s="6">
        <v>355.6</v>
      </c>
      <c r="C14" s="5" t="s">
        <v>8</v>
      </c>
      <c r="D14" s="7">
        <v>9.5299999999999994</v>
      </c>
      <c r="E14" s="8">
        <v>120</v>
      </c>
      <c r="F14" s="8">
        <f t="shared" si="1"/>
        <v>1149.8033191233799</v>
      </c>
      <c r="G14" s="8">
        <f>(3.14*(B14+E14)*E14*Input!C$2/1000000)*9.81</f>
        <v>351.60232896000002</v>
      </c>
      <c r="H14" s="8">
        <f>((3.14*(B14-2*D14)^2)/4*Input!C$3/1000000)*9.81</f>
        <v>872.19189161586019</v>
      </c>
      <c r="I14" s="8">
        <f>(Input!C$8/1067)*'Insul+Vapour'!B14</f>
        <v>5.4989690721649493</v>
      </c>
      <c r="J14" s="142">
        <f t="shared" si="2"/>
        <v>15528.901328725904</v>
      </c>
      <c r="K14" s="11">
        <f>(Input!C$9*(Input!C$7+I14)*D14^2)/(0.644*F14*((B14/2)*D14)^0.5)</f>
        <v>21.061391726194394</v>
      </c>
      <c r="L14" s="11">
        <f>((384*Input!$C$4*$J14*Input!$C$5)/(5*$F14*100000))^(1/4)</f>
        <v>10.230234237060156</v>
      </c>
      <c r="M14" s="11">
        <f>((160*Input!$C$6*$J14)/(B14*$F14))^0.5</f>
        <v>14.373984093631996</v>
      </c>
      <c r="N14" s="11">
        <f>((384*Input!$C$4*$J14*Input!$C$5)/(($F14*100000)))^(1/4)</f>
        <v>15.297768297995512</v>
      </c>
      <c r="O14" s="11">
        <f>((240*Input!$C$6*$J14)/($B14*$F14))^0.5</f>
        <v>17.604463300140065</v>
      </c>
      <c r="P14" s="11">
        <f>((185*Input!$G$4*($J14/(2.54)^4)*(Input!$G$5))/($F14*0.00571))^(1/4)*25.4/1000</f>
        <v>12.745083828810108</v>
      </c>
      <c r="Q14" s="11">
        <f>(((16*Input!$G$6*($J14/(2.54)^4))/(($B14/25.4)*($F14*0.00571)))^0.5)*25.4/1000</f>
        <v>14.374281413614245</v>
      </c>
      <c r="R14" s="11">
        <f>((384*Input!$G$4*($J14/(2.54)^4)*(Input!$G$5))/($F14*0.00571))^(1/4)*25.4/1000</f>
        <v>15.297926511217721</v>
      </c>
      <c r="S14" s="11">
        <f>(((24*Input!$G$6*($J14/(2.54)^4))/(($B14/25.4)*($F14*0.00571)))^0.5)*25.4/1000</f>
        <v>17.604827441263485</v>
      </c>
      <c r="T14" s="11">
        <f>((Input!$G$4*($J14/(2.54)^4)*(Input!$G$5))/(17.1*$F14*0.06854))^(1/4)*0.3048</f>
        <v>10.956074700894833</v>
      </c>
      <c r="U14" s="11">
        <f>(((20*Input!$G$6*($J14/(2.54)^4))/(($B14/25.4)*($F14*0.00571)))^0.5)*25.4/1000</f>
        <v>16.070935184276607</v>
      </c>
      <c r="V14" s="11">
        <f>((384*Input!$C$4*$J14*Input!$C$5)/(3*$F14*100000))^(1/4)</f>
        <v>11.623790263646612</v>
      </c>
      <c r="W14" s="11">
        <f>(((200*Input!$C$6*($J14))/($B14*($F14)))^0.5)</f>
        <v>16.070602770430924</v>
      </c>
      <c r="X14" s="11">
        <f t="shared" si="0"/>
        <v>10.230234237060156</v>
      </c>
      <c r="Y14" s="26">
        <v>15</v>
      </c>
      <c r="Z14" s="26">
        <v>14.5</v>
      </c>
      <c r="AA14" s="26">
        <v>13.5</v>
      </c>
      <c r="AB14" s="26">
        <v>12</v>
      </c>
      <c r="AC14" s="26"/>
      <c r="AD14" s="32">
        <f t="shared" si="3"/>
        <v>1.172993669737167</v>
      </c>
    </row>
    <row r="15" spans="1:30" x14ac:dyDescent="0.2">
      <c r="A15" s="9">
        <v>16</v>
      </c>
      <c r="B15" s="6">
        <v>406.4</v>
      </c>
      <c r="C15" s="5" t="s">
        <v>8</v>
      </c>
      <c r="D15" s="7">
        <v>9.5299999999999994</v>
      </c>
      <c r="E15" s="8">
        <v>120</v>
      </c>
      <c r="F15" s="8">
        <f t="shared" si="1"/>
        <v>1304.527635049491</v>
      </c>
      <c r="G15" s="8">
        <f>(3.14*(B15+E15)*E15*Input!C$2/1000000)*9.81</f>
        <v>389.15783424000006</v>
      </c>
      <c r="H15" s="8">
        <f>((3.14*(B15-2*D15)^2)/4*Input!C$3/1000000)*9.81</f>
        <v>1155.3760495542601</v>
      </c>
      <c r="I15" s="8">
        <f>(Input!C$8/1067)*'Insul+Vapour'!B15</f>
        <v>6.2845360824742267</v>
      </c>
      <c r="J15" s="142">
        <f t="shared" si="2"/>
        <v>23416.113910126078</v>
      </c>
      <c r="K15" s="11">
        <f>(Input!C$9*(Input!C$7+I15)*D15^2)/(0.644*F15*((B15/2)*D15)^0.5)</f>
        <v>17.493762741625812</v>
      </c>
      <c r="L15" s="11">
        <f>((384*Input!$C$4*$J15*Input!$C$5)/(5*$F15*100000))^(1/4)</f>
        <v>10.984281877234366</v>
      </c>
      <c r="M15" s="11">
        <f>((160*Input!$C$6*$J15)/(B15*$F15))^0.5</f>
        <v>15.500773469072428</v>
      </c>
      <c r="N15" s="11">
        <f>((384*Input!$C$4*$J15*Input!$C$5)/(($F15*100000)))^(1/4)</f>
        <v>16.425332517712754</v>
      </c>
      <c r="O15" s="11">
        <f>((240*Input!$C$6*$J15)/($B15*$F15))^0.5</f>
        <v>18.984492808849264</v>
      </c>
      <c r="P15" s="11">
        <f>((185*Input!$G$4*($J15/(2.54)^4)*(Input!$G$5))/($F15*0.00571))^(1/4)*25.4/1000</f>
        <v>13.684495396740976</v>
      </c>
      <c r="Q15" s="11">
        <f>(((16*Input!$G$6*($J15/(2.54)^4))/(($B15/25.4)*($F15*0.00571)))^0.5)*25.4/1000</f>
        <v>15.501094096232068</v>
      </c>
      <c r="R15" s="11">
        <f>((384*Input!$G$4*($J15/(2.54)^4)*(Input!$G$5))/($F15*0.00571))^(1/4)*25.4/1000</f>
        <v>16.425502392477025</v>
      </c>
      <c r="S15" s="11">
        <f>(((24*Input!$G$6*($J15/(2.54)^4))/(($B15/25.4)*($F15*0.00571)))^0.5)*25.4/1000</f>
        <v>18.984885495318665</v>
      </c>
      <c r="T15" s="11">
        <f>((Input!$G$4*($J15/(2.54)^4)*(Input!$G$5))/(17.1*$F15*0.06854))^(1/4)*0.3048</f>
        <v>11.763622415086388</v>
      </c>
      <c r="U15" s="11">
        <f>(((20*Input!$G$6*($J15/(2.54)^4))/(($B15/25.4)*($F15*0.00571)))^0.5)*25.4/1000</f>
        <v>17.330750062397787</v>
      </c>
      <c r="V15" s="11">
        <f>((384*Input!$C$4*$J15*Input!$C$5)/(3*$F15*100000))^(1/4)</f>
        <v>12.480553795651666</v>
      </c>
      <c r="W15" s="11">
        <f>(((200*Input!$C$6*($J15))/($B15*($F15)))^0.5)</f>
        <v>17.330391590335591</v>
      </c>
      <c r="X15" s="11">
        <f t="shared" si="0"/>
        <v>10.984281877234366</v>
      </c>
      <c r="Y15" s="26">
        <v>16</v>
      </c>
      <c r="Z15" s="26">
        <v>15.5</v>
      </c>
      <c r="AA15" s="26">
        <v>14.5</v>
      </c>
      <c r="AB15" s="26">
        <v>12.9</v>
      </c>
      <c r="AC15" s="26"/>
      <c r="AD15" s="32">
        <f t="shared" si="3"/>
        <v>1.1744054043929886</v>
      </c>
    </row>
    <row r="16" spans="1:30" x14ac:dyDescent="0.2">
      <c r="A16" s="9">
        <v>18</v>
      </c>
      <c r="B16" s="6">
        <v>457.2</v>
      </c>
      <c r="C16" s="5" t="s">
        <v>8</v>
      </c>
      <c r="D16" s="7">
        <v>9.5299999999999994</v>
      </c>
      <c r="E16" s="8">
        <v>120</v>
      </c>
      <c r="F16" s="8">
        <f t="shared" si="1"/>
        <v>1459.251950975603</v>
      </c>
      <c r="G16" s="8">
        <f>(3.14*(B16+E16)*E16*Input!C$2/1000000)*9.81</f>
        <v>426.71333952000003</v>
      </c>
      <c r="H16" s="8">
        <f>((3.14*(B16-2*D16)^2)/4*Input!C$3/1000000)*9.81</f>
        <v>1478.3064505806599</v>
      </c>
      <c r="I16" s="8">
        <f>(Input!C$8/1067)*'Insul+Vapour'!B16</f>
        <v>7.0701030927835049</v>
      </c>
      <c r="J16" s="142">
        <f t="shared" si="2"/>
        <v>33603.955567629222</v>
      </c>
      <c r="K16" s="11">
        <f>(Input!C$9*(Input!C$7+I16)*D16^2)/(0.644*F16*((B16/2)*D16)^0.5)</f>
        <v>14.853476432609593</v>
      </c>
      <c r="L16" s="11">
        <f>((384*Input!$C$4*$J16*Input!$C$5)/(5*$F16*100000))^(1/4)</f>
        <v>11.690183124380242</v>
      </c>
      <c r="M16" s="11">
        <f>((160*Input!$C$6*$J16)/(B16*$F16))^0.5</f>
        <v>16.552987937569227</v>
      </c>
      <c r="N16" s="11">
        <f>((384*Input!$C$4*$J16*Input!$C$5)/(($F16*100000)))^(1/4)</f>
        <v>17.480901087294871</v>
      </c>
      <c r="O16" s="11">
        <f>((240*Input!$C$6*$J16)/($B16*$F16))^0.5</f>
        <v>20.273187082744744</v>
      </c>
      <c r="P16" s="11">
        <f>((185*Input!$G$4*($J16/(2.54)^4)*(Input!$G$5))/($F16*0.00571))^(1/4)*25.4/1000</f>
        <v>14.563924973939116</v>
      </c>
      <c r="Q16" s="11">
        <f>(((16*Input!$G$6*($J16/(2.54)^4))/(($B16/25.4)*($F16*0.00571)))^0.5)*25.4/1000</f>
        <v>16.553330329354807</v>
      </c>
      <c r="R16" s="11">
        <f>((384*Input!$G$4*($J16/(2.54)^4)*(Input!$G$5))/($F16*0.00571))^(1/4)*25.4/1000</f>
        <v>17.481081879004766</v>
      </c>
      <c r="S16" s="11">
        <f>(((24*Input!$G$6*($J16/(2.54)^4))/(($B16/25.4)*($F16*0.00571)))^0.5)*25.4/1000</f>
        <v>20.273606425328147</v>
      </c>
      <c r="T16" s="11">
        <f>((Input!$G$4*($J16/(2.54)^4)*(Input!$G$5))/(17.1*$F16*0.06854))^(1/4)*0.3048</f>
        <v>12.519607724510498</v>
      </c>
      <c r="U16" s="11">
        <f>(((20*Input!$G$6*($J16/(2.54)^4))/(($B16/25.4)*($F16*0.00571)))^0.5)*25.4/1000</f>
        <v>18.50718593522317</v>
      </c>
      <c r="V16" s="11">
        <f>((384*Input!$C$4*$J16*Input!$C$5)/(3*$F16*100000))^(1/4)</f>
        <v>13.28261246347237</v>
      </c>
      <c r="W16" s="11">
        <f>(((200*Input!$C$6*($J16))/($B16*($F16)))^0.5)</f>
        <v>18.506803129569416</v>
      </c>
      <c r="X16" s="11">
        <f t="shared" si="0"/>
        <v>11.690183124380242</v>
      </c>
      <c r="Y16" s="26">
        <v>17</v>
      </c>
      <c r="Z16" s="26">
        <v>16.5</v>
      </c>
      <c r="AA16" s="26">
        <v>15</v>
      </c>
      <c r="AB16" s="26">
        <v>13.5</v>
      </c>
      <c r="AC16" s="26"/>
      <c r="AD16" s="32">
        <f t="shared" si="3"/>
        <v>1.1548151005304039</v>
      </c>
    </row>
    <row r="17" spans="1:30" x14ac:dyDescent="0.2">
      <c r="A17" s="9">
        <v>20</v>
      </c>
      <c r="B17" s="6">
        <v>508</v>
      </c>
      <c r="C17" s="5" t="s">
        <v>8</v>
      </c>
      <c r="D17" s="7">
        <v>9.5299999999999994</v>
      </c>
      <c r="E17" s="8">
        <v>140</v>
      </c>
      <c r="F17" s="8">
        <f t="shared" si="1"/>
        <v>1708.6043117017134</v>
      </c>
      <c r="G17" s="8">
        <f>(3.14*(B17+E17)*E17*Input!C$2/1000000)*9.81</f>
        <v>558.89688960000001</v>
      </c>
      <c r="H17" s="8">
        <f>((3.14*(B17-2*D17)^2)/4*Input!C$3/1000000)*9.81</f>
        <v>1840.9830946950603</v>
      </c>
      <c r="I17" s="8">
        <f>(Input!C$8/1067)*'Insul+Vapour'!B17</f>
        <v>7.855670103092784</v>
      </c>
      <c r="J17" s="142">
        <f t="shared" si="2"/>
        <v>46386.910533014052</v>
      </c>
      <c r="K17" s="11">
        <f>(Input!C$9*(Input!C$7+I17)*D17^2)/(0.644*F17*((B17/2)*D17)^0.5)</f>
        <v>12.123078335175517</v>
      </c>
      <c r="L17" s="11">
        <f>((384*Input!$C$4*$J17*Input!$C$5)/(5*$F17*100000))^(1/4)</f>
        <v>12.18133178192347</v>
      </c>
      <c r="M17" s="11">
        <f>((160*Input!$C$6*$J17)/(B17*$F17))^0.5</f>
        <v>17.050792488810927</v>
      </c>
      <c r="N17" s="11">
        <f>((384*Input!$C$4*$J17*Input!$C$5)/(($F17*100000)))^(1/4)</f>
        <v>18.215339633750585</v>
      </c>
      <c r="O17" s="11">
        <f>((240*Input!$C$6*$J17)/($B17*$F17))^0.5</f>
        <v>20.882870653833415</v>
      </c>
      <c r="P17" s="11">
        <f>((185*Input!$G$4*($J17/(2.54)^4)*(Input!$G$5))/($F17*0.00571))^(1/4)*25.4/1000</f>
        <v>15.175810358744814</v>
      </c>
      <c r="Q17" s="11">
        <f>(((16*Input!$G$6*($J17/(2.54)^4))/(($B17/25.4)*($F17*0.00571)))^0.5)*25.4/1000</f>
        <v>17.051145177480059</v>
      </c>
      <c r="R17" s="11">
        <f>((384*Input!$G$4*($J17/(2.54)^4)*(Input!$G$5))/($F17*0.00571))^(1/4)*25.4/1000</f>
        <v>18.215528021201674</v>
      </c>
      <c r="S17" s="11">
        <f>(((24*Input!$G$6*($J17/(2.54)^4))/(($B17/25.4)*($F17*0.00571)))^0.5)*25.4/1000</f>
        <v>20.883302607472128</v>
      </c>
      <c r="T17" s="11">
        <f>((Input!$G$4*($J17/(2.54)^4)*(Input!$G$5))/(17.1*$F17*0.06854))^(1/4)*0.3048</f>
        <v>13.045603635903644</v>
      </c>
      <c r="U17" s="11">
        <f>(((20*Input!$G$6*($J17/(2.54)^4))/(($B17/25.4)*($F17*0.00571)))^0.5)*25.4/1000</f>
        <v>19.063759855531565</v>
      </c>
      <c r="V17" s="11">
        <f>((384*Input!$C$4*$J17*Input!$C$5)/(3*$F17*100000))^(1/4)</f>
        <v>13.840665079987501</v>
      </c>
      <c r="W17" s="11">
        <f>(((200*Input!$C$6*($J17))/($B17*($F17)))^0.5)</f>
        <v>19.063365537612032</v>
      </c>
      <c r="X17" s="11">
        <f t="shared" si="0"/>
        <v>12.18133178192347</v>
      </c>
      <c r="Y17" s="26">
        <v>18</v>
      </c>
      <c r="Z17" s="26">
        <v>17.5</v>
      </c>
      <c r="AA17" s="26">
        <v>16</v>
      </c>
      <c r="AB17" s="26">
        <v>14.5</v>
      </c>
      <c r="AC17" s="26"/>
      <c r="AD17" s="32">
        <f t="shared" si="3"/>
        <v>1.1903460360153169</v>
      </c>
    </row>
    <row r="18" spans="1:30" x14ac:dyDescent="0.2">
      <c r="A18" s="9">
        <v>24</v>
      </c>
      <c r="B18" s="6">
        <v>609.6</v>
      </c>
      <c r="C18" s="5" t="s">
        <v>8</v>
      </c>
      <c r="D18" s="7">
        <v>9.5299999999999994</v>
      </c>
      <c r="E18" s="8">
        <v>140</v>
      </c>
      <c r="F18" s="8">
        <f t="shared" si="1"/>
        <v>2030.571445313934</v>
      </c>
      <c r="G18" s="8">
        <f>(3.14*(B18+E18)*E18*Input!C$2/1000000)*9.81</f>
        <v>646.52640192000013</v>
      </c>
      <c r="H18" s="8">
        <f>((3.14*(B18-2*D18)^2)/4*Input!C$3/1000000)*9.81</f>
        <v>2685.5751121878611</v>
      </c>
      <c r="I18" s="8">
        <f>(Input!C$8/1067)*'Insul+Vapour'!B18</f>
        <v>9.4268041237113405</v>
      </c>
      <c r="J18" s="142">
        <f t="shared" si="2"/>
        <v>80916.097314543847</v>
      </c>
      <c r="K18" s="11">
        <f>(Input!C$9*(Input!C$7+I18)*D18^2)/(0.644*F18*((B18/2)*D18)^0.5)</f>
        <v>9.4477032962582097</v>
      </c>
      <c r="L18" s="11">
        <f>((384*Input!$C$4*$J18*Input!$C$5)/(5*$F18*100000))^(1/4)</f>
        <v>13.407890296458518</v>
      </c>
      <c r="M18" s="11">
        <f>((160*Input!$C$6*$J18)/(B18*$F18))^0.5</f>
        <v>18.857551279200578</v>
      </c>
      <c r="N18" s="11">
        <f>((384*Input!$C$4*$J18*Input!$C$5)/(($F18*100000)))^(1/4)</f>
        <v>20.049472413557069</v>
      </c>
      <c r="O18" s="11">
        <f>((240*Input!$C$6*$J18)/($B18*$F18))^0.5</f>
        <v>23.095689216204807</v>
      </c>
      <c r="P18" s="11">
        <f>((185*Input!$G$4*($J18/(2.54)^4)*(Input!$G$5))/($F18*0.00571))^(1/4)*25.4/1000</f>
        <v>16.703887891130059</v>
      </c>
      <c r="Q18" s="11">
        <f>(((16*Input!$G$6*($J18/(2.54)^4))/(($B18/25.4)*($F18*0.00571)))^0.5)*25.4/1000</f>
        <v>18.85794133993635</v>
      </c>
      <c r="R18" s="11">
        <f>((384*Input!$G$4*($J18/(2.54)^4)*(Input!$G$5))/($F18*0.00571))^(1/4)*25.4/1000</f>
        <v>20.049679770053284</v>
      </c>
      <c r="S18" s="11">
        <f>(((24*Input!$G$6*($J18/(2.54)^4))/(($B18/25.4)*($F18*0.00571)))^0.5)*25.4/1000</f>
        <v>23.096166941090477</v>
      </c>
      <c r="T18" s="11">
        <f>((Input!$G$4*($J18/(2.54)^4)*(Input!$G$5))/(17.1*$F18*0.06854))^(1/4)*0.3048</f>
        <v>14.359187117851983</v>
      </c>
      <c r="U18" s="11">
        <f>(((20*Input!$G$6*($J18/(2.54)^4))/(($B18/25.4)*($F18*0.00571)))^0.5)*25.4/1000</f>
        <v>21.083819375900578</v>
      </c>
      <c r="V18" s="11">
        <f>((384*Input!$C$4*$J18*Input!$C$5)/(3*$F18*100000))^(1/4)</f>
        <v>15.234304618307828</v>
      </c>
      <c r="W18" s="11">
        <f>(((200*Input!$C$6*($J18))/($B18*($F18)))^0.5)</f>
        <v>21.083383274740303</v>
      </c>
      <c r="X18" s="11">
        <f t="shared" si="0"/>
        <v>13.407890296458518</v>
      </c>
      <c r="Y18" s="26">
        <v>20</v>
      </c>
      <c r="Z18" s="26">
        <v>19</v>
      </c>
      <c r="AA18" s="26">
        <v>17.5</v>
      </c>
      <c r="AB18" s="26">
        <v>15.9</v>
      </c>
      <c r="AC18" s="26"/>
      <c r="AD18" s="32">
        <f t="shared" si="3"/>
        <v>1.1858688912602255</v>
      </c>
    </row>
    <row r="19" spans="1:30" x14ac:dyDescent="0.2">
      <c r="A19" s="5">
        <v>0.75</v>
      </c>
      <c r="B19" s="6">
        <v>26.67</v>
      </c>
      <c r="C19" s="5" t="s">
        <v>9</v>
      </c>
      <c r="D19" s="7">
        <v>3.91</v>
      </c>
      <c r="E19" s="8">
        <v>40</v>
      </c>
      <c r="F19" s="8">
        <f t="shared" si="1"/>
        <v>37.967254364764081</v>
      </c>
      <c r="G19" s="8">
        <f>(3.14*(B19+E19)*E19*Input!C$2/1000000)*9.81</f>
        <v>16.429301424000002</v>
      </c>
      <c r="H19" s="8">
        <f>((3.14*(B19-2*D19)^2)/4*Input!C$3/1000000)*9.81</f>
        <v>2.7362852741250006</v>
      </c>
      <c r="I19" s="8">
        <f>(Input!C$8/1067)*'Insul+Vapour'!B19</f>
        <v>0.41242268041237118</v>
      </c>
      <c r="J19" s="142">
        <f t="shared" si="2"/>
        <v>1.8644553960993349</v>
      </c>
      <c r="K19" s="11">
        <f>(Input!C$9*(Input!C$7+I19)*D19^2)/(0.644*F19*((B19/2)*D19)^0.5)</f>
        <v>582.55349896824214</v>
      </c>
      <c r="L19" s="11">
        <f>((384*Input!$C$4*$J19*Input!$C$5)/(5*$F19*100000))^(1/4)</f>
        <v>2.512129283822087</v>
      </c>
      <c r="M19" s="11">
        <f>((160*Input!$C$6*$J19)/(B19*$F19))^0.5</f>
        <v>3.1648952831452899</v>
      </c>
      <c r="N19" s="11">
        <f>((384*Input!$C$4*$J19*Input!$C$5)/(($F19*100000)))^(1/4)</f>
        <v>3.756509462833495</v>
      </c>
      <c r="O19" s="11">
        <f>((240*Input!$C$6*$J19)/($B19*$F19))^0.5</f>
        <v>3.8761892665236251</v>
      </c>
      <c r="P19" s="11">
        <f>((185*Input!$G$4*($J19/(2.54)^4)*(Input!$G$5))/($F19*0.00571))^(1/4)*25.4/1000</f>
        <v>3.1296740200859712</v>
      </c>
      <c r="Q19" s="11">
        <f>(((16*Input!$G$6*($J19/(2.54)^4))/(($B19/25.4)*($F19*0.00571)))^0.5)*25.4/1000</f>
        <v>3.1649607477098307</v>
      </c>
      <c r="R19" s="11">
        <f>((384*Input!$G$4*($J19/(2.54)^4)*(Input!$G$5))/($F19*0.00571))^(1/4)*25.4/1000</f>
        <v>3.7565483135635382</v>
      </c>
      <c r="S19" s="11">
        <f>(((24*Input!$G$6*($J19/(2.54)^4))/(($B19/25.4)*($F19*0.00571)))^0.5)*25.4/1000</f>
        <v>3.8762694439133036</v>
      </c>
      <c r="T19" s="11">
        <f>((Input!$G$4*($J19/(2.54)^4)*(Input!$G$5))/(17.1*$F19*0.06854))^(1/4)*0.3048</f>
        <v>2.6903661689538674</v>
      </c>
      <c r="U19" s="11">
        <f>(((20*Input!$G$6*($J19/(2.54)^4))/(($B19/25.4)*($F19*0.00571)))^0.5)*25.4/1000</f>
        <v>3.538533688998871</v>
      </c>
      <c r="V19" s="11">
        <f>((384*Input!$C$4*$J19*Input!$C$5)/(3*$F19*100000))^(1/4)</f>
        <v>2.8543299433487839</v>
      </c>
      <c r="W19" s="11">
        <f>(((200*Input!$C$6*($J19))/($B19*($F19)))^0.5)</f>
        <v>3.5384604973906564</v>
      </c>
      <c r="X19" s="11">
        <f t="shared" si="0"/>
        <v>2.512129283822087</v>
      </c>
      <c r="Y19" s="26">
        <v>3.5</v>
      </c>
      <c r="Z19" s="26">
        <v>3.5</v>
      </c>
      <c r="AA19" s="26">
        <v>2.5</v>
      </c>
      <c r="AB19" s="26" t="s">
        <v>6</v>
      </c>
      <c r="AC19" s="26" t="s">
        <v>6</v>
      </c>
      <c r="AD19" s="33" t="s">
        <v>6</v>
      </c>
    </row>
    <row r="20" spans="1:30" x14ac:dyDescent="0.2">
      <c r="A20" s="5">
        <v>1</v>
      </c>
      <c r="B20" s="6">
        <v>33.4</v>
      </c>
      <c r="C20" s="5" t="s">
        <v>9</v>
      </c>
      <c r="D20" s="7">
        <v>4.55</v>
      </c>
      <c r="E20" s="8">
        <v>40</v>
      </c>
      <c r="F20" s="8">
        <f t="shared" si="1"/>
        <v>49.857420556741502</v>
      </c>
      <c r="G20" s="8">
        <f>(3.14*(B20+E20)*E20*Input!C$2/1000000)*9.81</f>
        <v>18.087756480000003</v>
      </c>
      <c r="H20" s="8">
        <f>((3.14*(B20-2*D20)^2)/4*Input!C$3/1000000)*9.81</f>
        <v>4.5472749165000002</v>
      </c>
      <c r="I20" s="8">
        <f>(Input!C$8/1067)*'Insul+Vapour'!B20</f>
        <v>0.51649484536082479</v>
      </c>
      <c r="J20" s="142">
        <f t="shared" si="2"/>
        <v>4.3989166291809374</v>
      </c>
      <c r="K20" s="11">
        <f>(Input!C$9*(Input!C$7+I20)*D20^2)/(0.644*F20*((B20/2)*D20)^0.5)</f>
        <v>498.14448268026115</v>
      </c>
      <c r="L20" s="11">
        <f>((384*Input!$C$4*$J20*Input!$C$5)/(5*$F20*100000))^(1/4)</f>
        <v>2.9084410510362626</v>
      </c>
      <c r="M20" s="11">
        <f>((160*Input!$C$6*$J20)/(B20*$F20))^0.5</f>
        <v>3.790828866233428</v>
      </c>
      <c r="N20" s="11">
        <f>((384*Input!$C$4*$J20*Input!$C$5)/(($F20*100000)))^(1/4)</f>
        <v>4.349133780920841</v>
      </c>
      <c r="O20" s="11">
        <f>((240*Input!$C$6*$J20)/($B20*$F20))^0.5</f>
        <v>4.6427982122425826</v>
      </c>
      <c r="P20" s="11">
        <f>((185*Input!$G$4*($J20/(2.54)^4)*(Input!$G$5))/($F20*0.00571))^(1/4)*25.4/1000</f>
        <v>3.6234092150427624</v>
      </c>
      <c r="Q20" s="11">
        <f>(((16*Input!$G$6*($J20/(2.54)^4))/(($B20/25.4)*($F20*0.00571)))^0.5)*25.4/1000</f>
        <v>3.7909072779781376</v>
      </c>
      <c r="R20" s="11">
        <f>((384*Input!$G$4*($J20/(2.54)^4)*(Input!$G$5))/($F20*0.00571))^(1/4)*25.4/1000</f>
        <v>4.3491787607150121</v>
      </c>
      <c r="S20" s="11">
        <f>(((24*Input!$G$6*($J20/(2.54)^4))/(($B20/25.4)*($F20*0.00571)))^0.5)*25.4/1000</f>
        <v>4.6428942466247722</v>
      </c>
      <c r="T20" s="11">
        <f>((Input!$G$4*($J20/(2.54)^4)*(Input!$G$5))/(17.1*$F20*0.06854))^(1/4)*0.3048</f>
        <v>3.1147964631022358</v>
      </c>
      <c r="U20" s="11">
        <f>(((20*Input!$G$6*($J20/(2.54)^4))/(($B20/25.4)*($F20*0.00571)))^0.5)*25.4/1000</f>
        <v>4.238363184978903</v>
      </c>
      <c r="V20" s="11">
        <f>((384*Input!$C$4*$J20*Input!$C$5)/(3*$F20*100000))^(1/4)</f>
        <v>3.3046270484164899</v>
      </c>
      <c r="W20" s="11">
        <f>(((200*Input!$C$6*($J20))/($B20*($F20)))^0.5)</f>
        <v>4.238275517983201</v>
      </c>
      <c r="X20" s="11">
        <f t="shared" si="0"/>
        <v>2.9084410510362626</v>
      </c>
      <c r="Y20" s="26">
        <v>4.5</v>
      </c>
      <c r="Z20" s="26">
        <v>4</v>
      </c>
      <c r="AA20" s="26">
        <v>3</v>
      </c>
      <c r="AB20" s="26">
        <v>3.3</v>
      </c>
      <c r="AC20" s="26">
        <v>5.2</v>
      </c>
      <c r="AD20" s="32">
        <f>AB20/MIN(L20:W20)</f>
        <v>1.1346284631845045</v>
      </c>
    </row>
    <row r="21" spans="1:30" x14ac:dyDescent="0.2">
      <c r="A21" s="5">
        <v>1.5</v>
      </c>
      <c r="B21" s="6">
        <v>48.26</v>
      </c>
      <c r="C21" s="5" t="s">
        <v>9</v>
      </c>
      <c r="D21" s="7">
        <v>5.08</v>
      </c>
      <c r="E21" s="8">
        <v>50</v>
      </c>
      <c r="F21" s="8">
        <f t="shared" si="1"/>
        <v>83.356080270210725</v>
      </c>
      <c r="G21" s="8">
        <f>(3.14*(B21+E21)*E21*Input!C$2/1000000)*9.81</f>
        <v>30.267420839999996</v>
      </c>
      <c r="H21" s="8">
        <f>((3.14*(B21-2*D21)^2)/4*Input!C$3/1000000)*9.81</f>
        <v>11.178630868499999</v>
      </c>
      <c r="I21" s="8">
        <f>(Input!C$8/1067)*'Insul+Vapour'!B21</f>
        <v>0.74628865979381442</v>
      </c>
      <c r="J21" s="142">
        <f t="shared" si="2"/>
        <v>16.289515278788155</v>
      </c>
      <c r="K21" s="11">
        <f>(Input!C$9*(Input!C$7+I21)*D21^2)/(0.644*F21*((B21/2)*D21)^0.5)</f>
        <v>293.08771495768696</v>
      </c>
      <c r="L21" s="11">
        <f>((384*Input!$C$4*$J21*Input!$C$5)/(5*$F21*100000))^(1/4)</f>
        <v>3.5481257538789546</v>
      </c>
      <c r="M21" s="11">
        <f>((160*Input!$C$6*$J21)/(B21*$F21))^0.5</f>
        <v>4.6934395605300914</v>
      </c>
      <c r="N21" s="11">
        <f>((384*Input!$C$4*$J21*Input!$C$5)/(($F21*100000)))^(1/4)</f>
        <v>5.3056855216825181</v>
      </c>
      <c r="O21" s="11">
        <f>((240*Input!$C$6*$J21)/($B21*$F21))^0.5</f>
        <v>5.7482660309456239</v>
      </c>
      <c r="P21" s="11">
        <f>((185*Input!$G$4*($J21/(2.54)^4)*(Input!$G$5))/($F21*0.00571))^(1/4)*25.4/1000</f>
        <v>4.4203445513034927</v>
      </c>
      <c r="Q21" s="11">
        <f>(((16*Input!$G$6*($J21/(2.54)^4))/(($B21/25.4)*($F21*0.00571)))^0.5)*25.4/1000</f>
        <v>4.6935366424078602</v>
      </c>
      <c r="R21" s="11">
        <f>((384*Input!$G$4*($J21/(2.54)^4)*(Input!$G$5))/($F21*0.00571))^(1/4)*25.4/1000</f>
        <v>5.3057403943663024</v>
      </c>
      <c r="S21" s="11">
        <f>(((24*Input!$G$6*($J21/(2.54)^4))/(($B21/25.4)*($F21*0.00571)))^0.5)*25.4/1000</f>
        <v>5.7483849314775251</v>
      </c>
      <c r="T21" s="11">
        <f>((Input!$G$4*($J21/(2.54)^4)*(Input!$G$5))/(17.1*$F21*0.06854))^(1/4)*0.3048</f>
        <v>3.7998671298104743</v>
      </c>
      <c r="U21" s="11">
        <f>(((20*Input!$G$6*($J21/(2.54)^4))/(($B21/25.4)*($F21*0.00571)))^0.5)*25.4/1000</f>
        <v>5.2475334936550491</v>
      </c>
      <c r="V21" s="11">
        <f>((384*Input!$C$4*$J21*Input!$C$5)/(3*$F21*100000))^(1/4)</f>
        <v>4.0314491962193637</v>
      </c>
      <c r="W21" s="11">
        <f>(((200*Input!$C$6*($J21))/($B21*($F21)))^0.5)</f>
        <v>5.2474249528160115</v>
      </c>
      <c r="X21" s="11">
        <f t="shared" si="0"/>
        <v>3.5481257538789546</v>
      </c>
      <c r="Y21" s="26">
        <v>5</v>
      </c>
      <c r="Z21" s="26">
        <v>5</v>
      </c>
      <c r="AA21" s="26">
        <v>4.5</v>
      </c>
      <c r="AB21" s="26">
        <v>3.9</v>
      </c>
      <c r="AC21" s="26">
        <v>6.3</v>
      </c>
      <c r="AD21" s="32">
        <f>AB21/MIN(L21:W21)</f>
        <v>1.099171864395269</v>
      </c>
    </row>
    <row r="22" spans="1:30" x14ac:dyDescent="0.2">
      <c r="A22" s="5">
        <v>2</v>
      </c>
      <c r="B22" s="6">
        <v>60.32</v>
      </c>
      <c r="C22" s="5" t="s">
        <v>9</v>
      </c>
      <c r="D22" s="7">
        <v>5.54</v>
      </c>
      <c r="E22" s="8">
        <v>50</v>
      </c>
      <c r="F22" s="8">
        <f t="shared" si="1"/>
        <v>107.43153309880054</v>
      </c>
      <c r="G22" s="8">
        <f>(3.14*(B22+E22)*E22*Input!C$2/1000000)*9.81</f>
        <v>33.98231088</v>
      </c>
      <c r="H22" s="8">
        <f>((3.14*(B22-2*D22)^2)/4*Input!C$3/1000000)*9.81</f>
        <v>18.671308410960002</v>
      </c>
      <c r="I22" s="8">
        <f>(Input!C$8/1067)*'Insul+Vapour'!B22</f>
        <v>0.93278350515463926</v>
      </c>
      <c r="J22" s="142">
        <f t="shared" si="2"/>
        <v>36.142804873030677</v>
      </c>
      <c r="K22" s="11">
        <f>(Input!C$9*(Input!C$7+I22)*D22^2)/(0.644*F22*((B22/2)*D22)^0.5)</f>
        <v>232.08036070191392</v>
      </c>
      <c r="L22" s="11">
        <f>((384*Input!$C$4*$J22*Input!$C$5)/(5*$F22*100000))^(1/4)</f>
        <v>4.064234933975138</v>
      </c>
      <c r="M22" s="11">
        <f>((160*Input!$C$6*$J22)/(B22*$F22))^0.5</f>
        <v>5.508252284941122</v>
      </c>
      <c r="N22" s="11">
        <f>((384*Input!$C$4*$J22*Input!$C$5)/(($F22*100000)))^(1/4)</f>
        <v>6.0774487551164311</v>
      </c>
      <c r="O22" s="11">
        <f>((240*Input!$C$6*$J22)/($B22*$F22))^0.5</f>
        <v>6.7462037363126406</v>
      </c>
      <c r="P22" s="11">
        <f>((185*Input!$G$4*($J22/(2.54)^4)*(Input!$G$5))/($F22*0.00571))^(1/4)*25.4/1000</f>
        <v>5.0633263846338883</v>
      </c>
      <c r="Q22" s="11">
        <f>(((16*Input!$G$6*($J22/(2.54)^4))/(($B22/25.4)*($F22*0.00571)))^0.5)*25.4/1000</f>
        <v>5.5083662208868489</v>
      </c>
      <c r="R22" s="11">
        <f>((384*Input!$G$4*($J22/(2.54)^4)*(Input!$G$5))/($F22*0.00571))^(1/4)*25.4/1000</f>
        <v>6.0775116095623618</v>
      </c>
      <c r="S22" s="11">
        <f>(((24*Input!$G$6*($J22/(2.54)^4))/(($B22/25.4)*($F22*0.00571)))^0.5)*25.4/1000</f>
        <v>6.7463432787778368</v>
      </c>
      <c r="T22" s="11">
        <f>((Input!$G$4*($J22/(2.54)^4)*(Input!$G$5))/(17.1*$F22*0.06854))^(1/4)*0.3048</f>
        <v>4.3525945258721608</v>
      </c>
      <c r="U22" s="11">
        <f>(((20*Input!$G$6*($J22/(2.54)^4))/(($B22/25.4)*($F22*0.00571)))^0.5)*25.4/1000</f>
        <v>6.1585406574333081</v>
      </c>
      <c r="V22" s="11">
        <f>((384*Input!$C$4*$J22*Input!$C$5)/(3*$F22*100000))^(1/4)</f>
        <v>4.6178624418563103</v>
      </c>
      <c r="W22" s="11">
        <f>(((200*Input!$C$6*($J22))/($B22*($F22)))^0.5)</f>
        <v>6.1584132731734442</v>
      </c>
      <c r="X22" s="11">
        <f t="shared" si="0"/>
        <v>4.064234933975138</v>
      </c>
      <c r="Y22" s="26">
        <v>6</v>
      </c>
      <c r="Z22" s="26">
        <v>5</v>
      </c>
      <c r="AA22" s="26">
        <v>4.5</v>
      </c>
      <c r="AB22" s="26">
        <v>4.25</v>
      </c>
      <c r="AC22" s="26">
        <v>7.1</v>
      </c>
      <c r="AD22" s="32">
        <f>AB22/MIN(L22:W22)</f>
        <v>1.0457072657074893</v>
      </c>
    </row>
    <row r="23" spans="1:30" x14ac:dyDescent="0.2">
      <c r="A23" s="5">
        <v>2.5</v>
      </c>
      <c r="B23" s="6">
        <v>73.02</v>
      </c>
      <c r="C23" s="5" t="s">
        <v>9</v>
      </c>
      <c r="D23" s="7">
        <v>7.01</v>
      </c>
      <c r="E23" s="8">
        <v>50</v>
      </c>
      <c r="F23" s="8">
        <f t="shared" si="1"/>
        <v>149.88535214690532</v>
      </c>
      <c r="G23" s="8">
        <f>(3.14*(B23+E23)*E23*Input!C$2/1000000)*9.81</f>
        <v>37.894342680000001</v>
      </c>
      <c r="H23" s="8">
        <f>((3.14*(B23-2*D23)^2)/4*Input!C$3/1000000)*9.81</f>
        <v>26.806658849999998</v>
      </c>
      <c r="I23" s="8">
        <f>(Input!C$8/1067)*'Insul+Vapour'!B23</f>
        <v>1.1291752577319587</v>
      </c>
      <c r="J23" s="142">
        <f t="shared" si="2"/>
        <v>80.102184494851457</v>
      </c>
      <c r="K23" s="11">
        <f>(Input!C$9*(Input!C$7+I23)*D23^2)/(0.644*F23*((B23/2)*D23)^0.5)</f>
        <v>215.61417977706387</v>
      </c>
      <c r="L23" s="11">
        <f>((384*Input!$C$4*$J23*Input!$C$5)/(5*$F23*100000))^(1/4)</f>
        <v>4.562759483323914</v>
      </c>
      <c r="M23" s="11">
        <f>((160*Input!$C$6*$J23)/(B23*$F23))^0.5</f>
        <v>6.3098802798629103</v>
      </c>
      <c r="N23" s="11">
        <f>((384*Input!$C$4*$J23*Input!$C$5)/(($F23*100000)))^(1/4)</f>
        <v>6.8229168323939806</v>
      </c>
      <c r="O23" s="11">
        <f>((240*Input!$C$6*$J23)/($B23*$F23))^0.5</f>
        <v>7.7279935118570249</v>
      </c>
      <c r="P23" s="11">
        <f>((185*Input!$G$4*($J23/(2.54)^4)*(Input!$G$5))/($F23*0.00571))^(1/4)*25.4/1000</f>
        <v>5.6844008414779772</v>
      </c>
      <c r="Q23" s="11">
        <f>(((16*Input!$G$6*($J23/(2.54)^4))/(($B23/25.4)*($F23*0.00571)))^0.5)*25.4/1000</f>
        <v>6.3100107971558597</v>
      </c>
      <c r="R23" s="11">
        <f>((384*Input!$G$4*($J23/(2.54)^4)*(Input!$G$5))/($F23*0.00571))^(1/4)*25.4/1000</f>
        <v>6.8229873966511922</v>
      </c>
      <c r="S23" s="11">
        <f>(((24*Input!$G$6*($J23/(2.54)^4))/(($B23/25.4)*($F23*0.00571)))^0.5)*25.4/1000</f>
        <v>7.7281533622421925</v>
      </c>
      <c r="T23" s="11">
        <f>((Input!$G$4*($J23/(2.54)^4)*(Input!$G$5))/(17.1*$F23*0.06854))^(1/4)*0.3048</f>
        <v>4.8864896524479411</v>
      </c>
      <c r="U23" s="11">
        <f>(((20*Input!$G$6*($J23/(2.54)^4))/(($B23/25.4)*($F23*0.00571)))^0.5)*25.4/1000</f>
        <v>7.0548065405990705</v>
      </c>
      <c r="V23" s="11">
        <f>((384*Input!$C$4*$J23*Input!$C$5)/(3*$F23*100000))^(1/4)</f>
        <v>5.1842956894858716</v>
      </c>
      <c r="W23" s="11">
        <f>(((200*Input!$C$6*($J23))/($B23*($F23)))^0.5)</f>
        <v>7.0546606178294331</v>
      </c>
      <c r="X23" s="11">
        <f t="shared" si="0"/>
        <v>4.562759483323914</v>
      </c>
      <c r="Y23" s="26">
        <v>6.5</v>
      </c>
      <c r="Z23" s="26">
        <v>6</v>
      </c>
      <c r="AA23" s="26">
        <v>5.5</v>
      </c>
      <c r="AB23" s="26" t="s">
        <v>6</v>
      </c>
      <c r="AC23" s="26" t="s">
        <v>6</v>
      </c>
      <c r="AD23" s="33" t="s">
        <v>6</v>
      </c>
    </row>
    <row r="24" spans="1:30" x14ac:dyDescent="0.2">
      <c r="A24" s="9">
        <v>3</v>
      </c>
      <c r="B24" s="6">
        <v>88.9</v>
      </c>
      <c r="C24" s="5" t="s">
        <v>9</v>
      </c>
      <c r="D24" s="7">
        <v>7.62</v>
      </c>
      <c r="E24" s="8">
        <v>100</v>
      </c>
      <c r="F24" s="8">
        <f t="shared" si="1"/>
        <v>266.27263653235968</v>
      </c>
      <c r="G24" s="8">
        <f>(3.14*(B24+E24)*E24*Input!C$2/1000000)*9.81</f>
        <v>116.37524520000004</v>
      </c>
      <c r="H24" s="8">
        <f>((3.14*(B24-2*D24)^2)/4*Input!C$3/1000000)*9.81</f>
        <v>41.783238046260017</v>
      </c>
      <c r="I24" s="8">
        <f>(Input!C$8/1067)*'Insul+Vapour'!B24</f>
        <v>1.3747422680412373</v>
      </c>
      <c r="J24" s="142">
        <f t="shared" si="2"/>
        <v>162.15605813760931</v>
      </c>
      <c r="K24" s="11">
        <f>(Input!C$9*(Input!C$7+I24)*D24^2)/(0.644*F24*((B24/2)*D24)^0.5)</f>
        <v>124.96509804287595</v>
      </c>
      <c r="L24" s="11">
        <f>((384*Input!$C$4*$J24*Input!$C$5)/(5*$F24*100000))^(1/4)</f>
        <v>4.7141993598638123</v>
      </c>
      <c r="M24" s="11">
        <f>((160*Input!$C$6*$J24)/(B24*$F24))^0.5</f>
        <v>6.1045251786721622</v>
      </c>
      <c r="N24" s="11">
        <f>((384*Input!$C$4*$J24*Input!$C$5)/(($F24*100000)))^(1/4)</f>
        <v>7.04937226720621</v>
      </c>
      <c r="O24" s="11">
        <f>((240*Input!$C$6*$J24)/($B24*$F24))^0.5</f>
        <v>7.4764859048595547</v>
      </c>
      <c r="P24" s="11">
        <f>((185*Input!$G$4*($J24/(2.54)^4)*(Input!$G$5))/($F24*0.00571))^(1/4)*25.4/1000</f>
        <v>5.8730684591297413</v>
      </c>
      <c r="Q24" s="11">
        <f>(((16*Input!$G$6*($J24/(2.54)^4))/(($B24/25.4)*($F24*0.00571)))^0.5)*25.4/1000</f>
        <v>6.1046514482788297</v>
      </c>
      <c r="R24" s="11">
        <f>((384*Input!$G$4*($J24/(2.54)^4)*(Input!$G$5))/($F24*0.00571))^(1/4)*25.4/1000</f>
        <v>7.0494451735203363</v>
      </c>
      <c r="S24" s="11">
        <f>(((24*Input!$G$6*($J24/(2.54)^4))/(($B24/25.4)*($F24*0.00571)))^0.5)*25.4/1000</f>
        <v>7.4766405529127331</v>
      </c>
      <c r="T24" s="11">
        <f>((Input!$G$4*($J24/(2.54)^4)*(Input!$G$5))/(17.1*$F24*0.06854))^(1/4)*0.3048</f>
        <v>5.0486742673470646</v>
      </c>
      <c r="U24" s="11">
        <f>(((20*Input!$G$6*($J24/(2.54)^4))/(($B24/25.4)*($F24*0.00571)))^0.5)*25.4/1000</f>
        <v>6.8252078086470025</v>
      </c>
      <c r="V24" s="11">
        <f>((384*Input!$C$4*$J24*Input!$C$5)/(3*$F24*100000))^(1/4)</f>
        <v>5.3563646100659517</v>
      </c>
      <c r="W24" s="11">
        <f>(((200*Input!$C$6*($J24))/($B24*($F24)))^0.5)</f>
        <v>6.825066634935002</v>
      </c>
      <c r="X24" s="11">
        <f t="shared" si="0"/>
        <v>4.7141993598638123</v>
      </c>
      <c r="Y24" s="26">
        <v>7.5</v>
      </c>
      <c r="Z24" s="26">
        <v>6.5</v>
      </c>
      <c r="AA24" s="26">
        <v>6</v>
      </c>
      <c r="AB24" s="26">
        <v>4.8</v>
      </c>
      <c r="AC24" s="26">
        <v>8.1999999999999993</v>
      </c>
      <c r="AD24" s="32">
        <f t="shared" ref="AD24:AD37" si="4">AB24/MIN(L24:W24)</f>
        <v>1.0182004691754627</v>
      </c>
    </row>
    <row r="25" spans="1:30" x14ac:dyDescent="0.2">
      <c r="A25" s="9">
        <v>4</v>
      </c>
      <c r="B25" s="6">
        <v>114.3</v>
      </c>
      <c r="C25" s="5" t="s">
        <v>9</v>
      </c>
      <c r="D25" s="7">
        <v>8.56</v>
      </c>
      <c r="E25" s="8">
        <v>100</v>
      </c>
      <c r="F25" s="8">
        <f t="shared" si="1"/>
        <v>351.08609418797482</v>
      </c>
      <c r="G25" s="8">
        <f>(3.14*(B25+E25)*E25*Input!C$2/1000000)*9.81</f>
        <v>132.02337240000003</v>
      </c>
      <c r="H25" s="8">
        <f>((3.14*(B25-2*D25)^2)/4*Input!C$3/1000000)*9.81</f>
        <v>72.726460839539996</v>
      </c>
      <c r="I25" s="8">
        <f>(Input!C$8/1067)*'Insul+Vapour'!B25</f>
        <v>1.7675257731958762</v>
      </c>
      <c r="J25" s="142">
        <f t="shared" si="2"/>
        <v>400.17990346454081</v>
      </c>
      <c r="K25" s="11">
        <f>(Input!C$9*(Input!C$7+I25)*D25^2)/(0.644*F25*((B25/2)*D25)^0.5)</f>
        <v>99.904960528801126</v>
      </c>
      <c r="L25" s="11">
        <f>((384*Input!$C$4*$J25*Input!$C$5)/(5*$F25*100000))^(1/4)</f>
        <v>5.5139991683616438</v>
      </c>
      <c r="M25" s="11">
        <f>((160*Input!$C$6*$J25)/(B25*$F25))^0.5</f>
        <v>7.3654139169064248</v>
      </c>
      <c r="N25" s="11">
        <f>((384*Input!$C$4*$J25*Input!$C$5)/(($F25*100000)))^(1/4)</f>
        <v>8.2453519360644076</v>
      </c>
      <c r="O25" s="11">
        <f>((240*Input!$C$6*$J25)/($B25*$F25))^0.5</f>
        <v>9.0207529204073786</v>
      </c>
      <c r="P25" s="11">
        <f>((185*Input!$G$4*($J25/(2.54)^4)*(Input!$G$5))/($F25*0.00571))^(1/4)*25.4/1000</f>
        <v>6.8694792322715701</v>
      </c>
      <c r="Q25" s="11">
        <f>(((16*Input!$G$6*($J25/(2.54)^4))/(($B25/25.4)*($F25*0.00571)))^0.5)*25.4/1000</f>
        <v>7.3655662674809594</v>
      </c>
      <c r="R25" s="11">
        <f>((384*Input!$G$4*($J25/(2.54)^4)*(Input!$G$5))/($F25*0.00571))^(1/4)*25.4/1000</f>
        <v>8.2454372114897261</v>
      </c>
      <c r="S25" s="11">
        <f>(((24*Input!$G$6*($J25/(2.54)^4))/(($B25/25.4)*($F25*0.00571)))^0.5)*25.4/1000</f>
        <v>9.0209395109921928</v>
      </c>
      <c r="T25" s="11">
        <f>((Input!$G$4*($J25/(2.54)^4)*(Input!$G$5))/(17.1*$F25*0.06854))^(1/4)*0.3048</f>
        <v>5.905220290107704</v>
      </c>
      <c r="U25" s="11">
        <f>(((20*Input!$G$6*($J25/(2.54)^4))/(($B25/25.4)*($F25*0.00571)))^0.5)*25.4/1000</f>
        <v>8.2349534334334127</v>
      </c>
      <c r="V25" s="11">
        <f>((384*Input!$C$4*$J25*Input!$C$5)/(3*$F25*100000))^(1/4)</f>
        <v>6.2651126417781846</v>
      </c>
      <c r="W25" s="11">
        <f>(((200*Input!$C$6*($J25))/($B25*($F25)))^0.5)</f>
        <v>8.2347831003128764</v>
      </c>
      <c r="X25" s="11">
        <f t="shared" si="0"/>
        <v>5.5139991683616438</v>
      </c>
      <c r="Y25" s="26">
        <v>8</v>
      </c>
      <c r="Z25" s="26">
        <v>8</v>
      </c>
      <c r="AA25" s="26">
        <v>7</v>
      </c>
      <c r="AB25" s="26">
        <v>6.45</v>
      </c>
      <c r="AC25" s="26"/>
      <c r="AD25" s="32">
        <f t="shared" si="4"/>
        <v>1.1697499043904402</v>
      </c>
    </row>
    <row r="26" spans="1:30" x14ac:dyDescent="0.2">
      <c r="A26" s="9">
        <v>6</v>
      </c>
      <c r="B26" s="6">
        <v>168.27</v>
      </c>
      <c r="C26" s="5" t="s">
        <v>9</v>
      </c>
      <c r="D26" s="7">
        <v>10.97</v>
      </c>
      <c r="E26" s="8">
        <v>100</v>
      </c>
      <c r="F26" s="8">
        <f t="shared" si="1"/>
        <v>582.90166862931778</v>
      </c>
      <c r="G26" s="8">
        <f>(3.14*(B26+E26)*E26*Input!C$2/1000000)*9.81</f>
        <v>165.27256236000002</v>
      </c>
      <c r="H26" s="8">
        <f>((3.14*(B26-2*D26)^2)/4*Input!C$3/1000000)*9.81</f>
        <v>164.89421112856505</v>
      </c>
      <c r="I26" s="8">
        <f>(Input!C$8/1067)*'Insul+Vapour'!B26</f>
        <v>2.6021134020618559</v>
      </c>
      <c r="J26" s="142">
        <f t="shared" si="2"/>
        <v>1685.4918533955984</v>
      </c>
      <c r="K26" s="11">
        <f>(Input!C$9*(Input!C$7+I26)*D26^2)/(0.644*F26*((B26/2)*D26)^0.5)</f>
        <v>72.538995134592014</v>
      </c>
      <c r="L26" s="11">
        <f>((384*Input!$C$4*$J26*Input!$C$5)/(5*$F26*100000))^(1/4)</f>
        <v>6.9588764242471779</v>
      </c>
      <c r="M26" s="11">
        <f>((160*Input!$C$6*$J26)/(B26*$F26))^0.5</f>
        <v>9.6685596755191678</v>
      </c>
      <c r="N26" s="11">
        <f>((384*Input!$C$4*$J26*Input!$C$5)/(($F26*100000)))^(1/4)</f>
        <v>10.405947379667102</v>
      </c>
      <c r="O26" s="11">
        <f>((240*Input!$C$6*$J26)/($B26*$F26))^0.5</f>
        <v>11.841518876335627</v>
      </c>
      <c r="P26" s="11">
        <f>((185*Input!$G$4*($J26/(2.54)^4)*(Input!$G$5))/($F26*0.00571))^(1/4)*25.4/1000</f>
        <v>8.6695437588384756</v>
      </c>
      <c r="Q26" s="11">
        <f>(((16*Input!$G$6*($J26/(2.54)^4))/(($B26/25.4)*($F26*0.00571)))^0.5)*25.4/1000</f>
        <v>9.6687596657217689</v>
      </c>
      <c r="R26" s="11">
        <f>((384*Input!$G$4*($J26/(2.54)^4)*(Input!$G$5))/($F26*0.00571))^(1/4)*25.4/1000</f>
        <v>10.406055000493422</v>
      </c>
      <c r="S26" s="11">
        <f>(((24*Input!$G$6*($J26/(2.54)^4))/(($B26/25.4)*($F26*0.00571)))^0.5)*25.4/1000</f>
        <v>11.841763813310592</v>
      </c>
      <c r="T26" s="11">
        <f>((Input!$G$4*($J26/(2.54)^4)*(Input!$G$5))/(17.1*$F26*0.06854))^(1/4)*0.3048</f>
        <v>7.4526123421644686</v>
      </c>
      <c r="U26" s="11">
        <f>(((20*Input!$G$6*($J26/(2.54)^4))/(($B26/25.4)*($F26*0.00571)))^0.5)*25.4/1000</f>
        <v>10.810001935331011</v>
      </c>
      <c r="V26" s="11">
        <f>((384*Input!$C$4*$J26*Input!$C$5)/(3*$F26*100000))^(1/4)</f>
        <v>7.9068101620837465</v>
      </c>
      <c r="W26" s="11">
        <f>(((200*Input!$C$6*($J26))/($B26*($F26)))^0.5)</f>
        <v>10.809778339487083</v>
      </c>
      <c r="X26" s="11">
        <f t="shared" si="0"/>
        <v>6.9588764242471779</v>
      </c>
      <c r="Y26" s="26">
        <v>10.5</v>
      </c>
      <c r="Z26" s="26">
        <v>10</v>
      </c>
      <c r="AA26" s="26">
        <v>9</v>
      </c>
      <c r="AB26" s="26">
        <v>7.95</v>
      </c>
      <c r="AC26" s="26"/>
      <c r="AD26" s="32">
        <f t="shared" si="4"/>
        <v>1.1424258048755398</v>
      </c>
    </row>
    <row r="27" spans="1:30" x14ac:dyDescent="0.2">
      <c r="A27" s="9">
        <v>8</v>
      </c>
      <c r="B27" s="6">
        <v>219.07</v>
      </c>
      <c r="C27" s="10" t="s">
        <v>10</v>
      </c>
      <c r="D27" s="8">
        <v>12.7</v>
      </c>
      <c r="E27" s="8">
        <v>120</v>
      </c>
      <c r="F27" s="8">
        <f t="shared" si="1"/>
        <v>884.98425232810609</v>
      </c>
      <c r="G27" s="8">
        <f>(3.14*(B27+E27)*E27*Input!C$2/1000000)*9.81</f>
        <v>250.66821211200005</v>
      </c>
      <c r="H27" s="8">
        <f>((3.14*(B27-2*D27)^2)/4*Input!C$3/1000000)*9.81</f>
        <v>288.84401238856503</v>
      </c>
      <c r="I27" s="8">
        <f>(Input!C$8/1067)*'Insul+Vapour'!B27</f>
        <v>3.3876804123711342</v>
      </c>
      <c r="J27" s="142">
        <f t="shared" si="2"/>
        <v>4401.6125316967582</v>
      </c>
      <c r="K27" s="11">
        <f>(Input!C$9*(Input!C$7+I27)*D27^2)/(0.644*F27*((B27/2)*D27)^0.5)</f>
        <v>52.559510195818767</v>
      </c>
      <c r="L27" s="11">
        <f>((384*Input!$C$4*$J27*Input!$C$5)/(5*$F27*100000))^(1/4)</f>
        <v>7.9693949676583724</v>
      </c>
      <c r="M27" s="11">
        <f>((160*Input!$C$6*$J27)/(B27*$F27))^0.5</f>
        <v>11.113379095174103</v>
      </c>
      <c r="N27" s="11">
        <f>((384*Input!$C$4*$J27*Input!$C$5)/(($F27*100000)))^(1/4)</f>
        <v>11.917025051958474</v>
      </c>
      <c r="O27" s="11">
        <f>((240*Input!$C$6*$J27)/($B27*$F27))^0.5</f>
        <v>13.611054050644981</v>
      </c>
      <c r="P27" s="11">
        <f>((185*Input!$G$4*($J27/(2.54)^4)*(Input!$G$5))/($F27*0.00571))^(1/4)*25.4/1000</f>
        <v>9.9284732464631649</v>
      </c>
      <c r="Q27" s="11">
        <f>(((16*Input!$G$6*($J27/(2.54)^4))/(($B27/25.4)*($F27*0.00571)))^0.5)*25.4/1000</f>
        <v>11.113608970875491</v>
      </c>
      <c r="R27" s="11">
        <f>((384*Input!$G$4*($J27/(2.54)^4)*(Input!$G$5))/($F27*0.00571))^(1/4)*25.4/1000</f>
        <v>11.917148300715807</v>
      </c>
      <c r="S27" s="11">
        <f>(((24*Input!$G$6*($J27/(2.54)^4))/(($B27/25.4)*($F27*0.00571)))^0.5)*25.4/1000</f>
        <v>13.611335589731317</v>
      </c>
      <c r="T27" s="11">
        <f>((Input!$G$4*($J27/(2.54)^4)*(Input!$G$5))/(17.1*$F27*0.06854))^(1/4)*0.3048</f>
        <v>8.534827704169123</v>
      </c>
      <c r="U27" s="11">
        <f>(((20*Input!$G$6*($J27/(2.54)^4))/(($B27/25.4)*($F27*0.00571)))^0.5)*25.4/1000</f>
        <v>12.425392567114541</v>
      </c>
      <c r="V27" s="11">
        <f>((384*Input!$C$4*$J27*Input!$C$5)/(3*$F27*100000))^(1/4)</f>
        <v>9.0549809012820734</v>
      </c>
      <c r="W27" s="11">
        <f>(((200*Input!$C$6*($J27))/($B27*($F27)))^0.5)</f>
        <v>12.425135558267199</v>
      </c>
      <c r="X27" s="11">
        <f t="shared" si="0"/>
        <v>7.9693949676583724</v>
      </c>
      <c r="Y27" s="26">
        <v>12</v>
      </c>
      <c r="Z27" s="26">
        <v>11.5</v>
      </c>
      <c r="AA27" s="26">
        <v>10.5</v>
      </c>
      <c r="AB27" s="26">
        <v>9.1</v>
      </c>
      <c r="AC27" s="26"/>
      <c r="AD27" s="32">
        <f t="shared" si="4"/>
        <v>1.1418683647792438</v>
      </c>
    </row>
    <row r="28" spans="1:30" x14ac:dyDescent="0.2">
      <c r="A28" s="9">
        <v>10</v>
      </c>
      <c r="B28" s="6">
        <v>273.05</v>
      </c>
      <c r="C28" s="10" t="s">
        <v>10</v>
      </c>
      <c r="D28" s="8">
        <v>12.7</v>
      </c>
      <c r="E28" s="8">
        <v>120</v>
      </c>
      <c r="F28" s="8">
        <f t="shared" si="1"/>
        <v>1090.8081022324409</v>
      </c>
      <c r="G28" s="8">
        <f>(3.14*(B28+E28)*E28*Input!C$2/1000000)*9.81</f>
        <v>290.57463288000002</v>
      </c>
      <c r="H28" s="8">
        <f>((3.14*(B28-2*D28)^2)/4*Input!C$3/1000000)*9.81</f>
        <v>472.29715419412514</v>
      </c>
      <c r="I28" s="8">
        <f>(Input!C$8/1067)*'Insul+Vapour'!B28</f>
        <v>4.2224226804123717</v>
      </c>
      <c r="J28" s="142">
        <f t="shared" si="2"/>
        <v>8825.4206848138547</v>
      </c>
      <c r="K28" s="11">
        <f>(Input!C$9*(Input!C$7+I28)*D28^2)/(0.644*F28*((B28/2)*D28)^0.5)</f>
        <v>38.503590810678993</v>
      </c>
      <c r="L28" s="11">
        <f>((384*Input!$C$4*$J28*Input!$C$5)/(5*$F28*100000))^(1/4)</f>
        <v>9.0002184341952454</v>
      </c>
      <c r="M28" s="11">
        <f>((160*Input!$C$6*$J28)/(B28*$F28))^0.5</f>
        <v>12.696145474160989</v>
      </c>
      <c r="N28" s="11">
        <f>((384*Input!$C$4*$J28*Input!$C$5)/(($F28*100000)))^(1/4)</f>
        <v>13.458465666298624</v>
      </c>
      <c r="O28" s="11">
        <f>((240*Input!$C$6*$J28)/($B28*$F28))^0.5</f>
        <v>15.549539055920205</v>
      </c>
      <c r="P28" s="11">
        <f>((185*Input!$G$4*($J28/(2.54)^4)*(Input!$G$5))/($F28*0.00571))^(1/4)*25.4/1000</f>
        <v>11.212699119427393</v>
      </c>
      <c r="Q28" s="11">
        <f>(((16*Input!$G$6*($J28/(2.54)^4))/(($B28/25.4)*($F28*0.00571)))^0.5)*25.4/1000</f>
        <v>12.6964080887376</v>
      </c>
      <c r="R28" s="11">
        <f>((384*Input!$G$4*($J28/(2.54)^4)*(Input!$G$5))/($F28*0.00571))^(1/4)*25.4/1000</f>
        <v>13.458604857007851</v>
      </c>
      <c r="S28" s="11">
        <f>(((24*Input!$G$6*($J28/(2.54)^4))/(($B28/25.4)*($F28*0.00571)))^0.5)*25.4/1000</f>
        <v>15.549860691776065</v>
      </c>
      <c r="T28" s="11">
        <f>((Input!$G$4*($J28/(2.54)^4)*(Input!$G$5))/(17.1*$F28*0.06854))^(1/4)*0.3048</f>
        <v>9.6387886342033902</v>
      </c>
      <c r="U28" s="11">
        <f>(((20*Input!$G$6*($J28/(2.54)^4))/(($B28/25.4)*($F28*0.00571)))^0.5)*25.4/1000</f>
        <v>14.195015778247729</v>
      </c>
      <c r="V28" s="11">
        <f>((384*Input!$C$4*$J28*Input!$C$5)/(3*$F28*100000))^(1/4)</f>
        <v>10.22622248737043</v>
      </c>
      <c r="W28" s="11">
        <f>(((200*Input!$C$6*($J28))/($B28*($F28)))^0.5)</f>
        <v>14.194722166225135</v>
      </c>
      <c r="X28" s="11">
        <f t="shared" si="0"/>
        <v>9.0002184341952454</v>
      </c>
      <c r="Y28" s="26">
        <v>13.5</v>
      </c>
      <c r="Z28" s="26">
        <v>13</v>
      </c>
      <c r="AA28" s="26">
        <v>12</v>
      </c>
      <c r="AB28" s="26">
        <v>10.3</v>
      </c>
      <c r="AC28" s="26"/>
      <c r="AD28" s="32">
        <f t="shared" si="4"/>
        <v>1.1444166689184334</v>
      </c>
    </row>
    <row r="29" spans="1:30" x14ac:dyDescent="0.2">
      <c r="A29" s="9">
        <v>12</v>
      </c>
      <c r="B29" s="6">
        <v>323.85000000000002</v>
      </c>
      <c r="C29" s="10" t="s">
        <v>10</v>
      </c>
      <c r="D29" s="8">
        <v>12.7</v>
      </c>
      <c r="E29" s="8">
        <v>120</v>
      </c>
      <c r="F29" s="8">
        <f t="shared" si="1"/>
        <v>1284.5067234836481</v>
      </c>
      <c r="G29" s="8">
        <f>(3.14*(B29+E29)*E29*Input!C$2/1000000)*9.81</f>
        <v>328.13013816000006</v>
      </c>
      <c r="H29" s="8">
        <f>((3.14*(B29-2*D29)^2)/4*Input!C$3/1000000)*9.81</f>
        <v>685.93321079212524</v>
      </c>
      <c r="I29" s="8">
        <f>(Input!C$8/1067)*'Insul+Vapour'!B29</f>
        <v>5.0079896907216499</v>
      </c>
      <c r="J29" s="142">
        <f t="shared" si="2"/>
        <v>15054.377948930842</v>
      </c>
      <c r="K29" s="11">
        <f>(Input!C$9*(Input!C$7+I29)*D29^2)/(0.644*F29*((B29/2)*D29)^0.5)</f>
        <v>30.249870958419564</v>
      </c>
      <c r="L29" s="11">
        <f>((384*Input!$C$4*$J29*Input!$C$5)/(5*$F29*100000))^(1/4)</f>
        <v>9.873881092383419</v>
      </c>
      <c r="M29" s="11">
        <f>((160*Input!$C$6*$J29)/(B29*$F29))^0.5</f>
        <v>14.031067559664454</v>
      </c>
      <c r="N29" s="11">
        <f>((384*Input!$C$4*$J29*Input!$C$5)/(($F29*100000)))^(1/4)</f>
        <v>14.764896057418804</v>
      </c>
      <c r="O29" s="11">
        <f>((240*Input!$C$6*$J29)/($B29*$F29))^0.5</f>
        <v>17.184478033847938</v>
      </c>
      <c r="P29" s="11">
        <f>((185*Input!$G$4*($J29/(2.54)^4)*(Input!$G$5))/($F29*0.00571))^(1/4)*25.4/1000</f>
        <v>12.301130093605083</v>
      </c>
      <c r="Q29" s="11">
        <f>(((16*Input!$G$6*($J29/(2.54)^4))/(($B29/25.4)*($F29*0.00571)))^0.5)*25.4/1000</f>
        <v>14.031357786558447</v>
      </c>
      <c r="R29" s="11">
        <f>((384*Input!$G$4*($J29/(2.54)^4)*(Input!$G$5))/($F29*0.00571))^(1/4)*25.4/1000</f>
        <v>14.765048759547327</v>
      </c>
      <c r="S29" s="11">
        <f>(((24*Input!$G$6*($J29/(2.54)^4))/(($B29/25.4)*($F29*0.00571)))^0.5)*25.4/1000</f>
        <v>17.184833487747891</v>
      </c>
      <c r="T29" s="11">
        <f>((Input!$G$4*($J29/(2.54)^4)*(Input!$G$5))/(17.1*$F29*0.06854))^(1/4)*0.3048</f>
        <v>10.574438114429041</v>
      </c>
      <c r="U29" s="11">
        <f>(((20*Input!$G$6*($J29/(2.54)^4))/(($B29/25.4)*($F29*0.00571)))^0.5)*25.4/1000</f>
        <v>15.687534913682834</v>
      </c>
      <c r="V29" s="11">
        <f>((384*Input!$C$4*$J29*Input!$C$5)/(3*$F29*100000))^(1/4)</f>
        <v>11.218894919363308</v>
      </c>
      <c r="W29" s="11">
        <f>(((200*Input!$C$6*($J29))/($B29*($F29)))^0.5)</f>
        <v>15.687210430150904</v>
      </c>
      <c r="X29" s="11">
        <f t="shared" si="0"/>
        <v>9.873881092383419</v>
      </c>
      <c r="Y29" s="26">
        <v>14.5</v>
      </c>
      <c r="Z29" s="26">
        <v>13.5</v>
      </c>
      <c r="AA29" s="26">
        <v>13</v>
      </c>
      <c r="AB29" s="26">
        <v>11.3</v>
      </c>
      <c r="AC29" s="26"/>
      <c r="AD29" s="32">
        <f t="shared" si="4"/>
        <v>1.1444334699064456</v>
      </c>
    </row>
    <row r="30" spans="1:30" x14ac:dyDescent="0.2">
      <c r="A30" s="9">
        <v>14</v>
      </c>
      <c r="B30" s="6">
        <v>355.6</v>
      </c>
      <c r="C30" s="10" t="s">
        <v>10</v>
      </c>
      <c r="D30" s="8">
        <v>12.7</v>
      </c>
      <c r="E30" s="8">
        <v>120</v>
      </c>
      <c r="F30" s="8">
        <f t="shared" si="1"/>
        <v>1405.5683617656525</v>
      </c>
      <c r="G30" s="8">
        <f>(3.14*(B30+E30)*E30*Input!C$2/1000000)*9.81</f>
        <v>351.60232896000002</v>
      </c>
      <c r="H30" s="8">
        <f>((3.14*(B30-2*D30)^2)/4*Input!C$3/1000000)*9.81</f>
        <v>839.63938523400043</v>
      </c>
      <c r="I30" s="8">
        <f>(Input!C$8/1067)*'Insul+Vapour'!B30</f>
        <v>5.4989690721649493</v>
      </c>
      <c r="J30" s="142">
        <f t="shared" si="2"/>
        <v>20143.190758941117</v>
      </c>
      <c r="K30" s="11">
        <f>(Input!C$9*(Input!C$7+I30)*D30^2)/(0.644*F30*((B30/2)*D30)^0.5)</f>
        <v>26.504821346588827</v>
      </c>
      <c r="L30" s="11">
        <f>((384*Input!$C$4*$J30*Input!$C$5)/(5*$F30*100000))^(1/4)</f>
        <v>10.383059857906339</v>
      </c>
      <c r="M30" s="11">
        <f>((160*Input!$C$6*$J30)/(B30*$F30))^0.5</f>
        <v>14.806646909898681</v>
      </c>
      <c r="N30" s="11">
        <f>((384*Input!$C$4*$J30*Input!$C$5)/(($F30*100000)))^(1/4)</f>
        <v>15.52629590386722</v>
      </c>
      <c r="O30" s="11">
        <f>((240*Input!$C$6*$J30)/($B30*$F30))^0.5</f>
        <v>18.134364865404532</v>
      </c>
      <c r="P30" s="11">
        <f>((185*Input!$G$4*($J30/(2.54)^4)*(Input!$G$5))/($F30*0.00571))^(1/4)*25.4/1000</f>
        <v>12.935477841668432</v>
      </c>
      <c r="Q30" s="11">
        <f>(((16*Input!$G$6*($J30/(2.54)^4))/(($B30/25.4)*($F30*0.00571)))^0.5)*25.4/1000</f>
        <v>14.806953179334332</v>
      </c>
      <c r="R30" s="11">
        <f>((384*Input!$G$4*($J30/(2.54)^4)*(Input!$G$5))/($F30*0.00571))^(1/4)*25.4/1000</f>
        <v>15.52645648057724</v>
      </c>
      <c r="S30" s="11">
        <f>(((24*Input!$G$6*($J30/(2.54)^4))/(($B30/25.4)*($F30*0.00571)))^0.5)*25.4/1000</f>
        <v>18.134739967325107</v>
      </c>
      <c r="T30" s="11">
        <f>((Input!$G$4*($J30/(2.54)^4)*(Input!$G$5))/(17.1*$F30*0.06854))^(1/4)*0.3048</f>
        <v>11.119743379382745</v>
      </c>
      <c r="U30" s="11">
        <f>(((20*Input!$G$6*($J30/(2.54)^4))/(($B30/25.4)*($F30*0.00571)))^0.5)*25.4/1000</f>
        <v>16.554676924324099</v>
      </c>
      <c r="V30" s="11">
        <f>((384*Input!$C$4*$J30*Input!$C$5)/(3*$F30*100000))^(1/4)</f>
        <v>11.797433693744464</v>
      </c>
      <c r="W30" s="11">
        <f>(((200*Input!$C$6*($J30))/($B30*($F30)))^0.5)</f>
        <v>16.554334504685329</v>
      </c>
      <c r="X30" s="11">
        <f t="shared" si="0"/>
        <v>10.383059857906339</v>
      </c>
      <c r="Y30" s="26">
        <v>15</v>
      </c>
      <c r="Z30" s="26">
        <v>14.5</v>
      </c>
      <c r="AA30" s="26">
        <v>13.5</v>
      </c>
      <c r="AB30" s="26">
        <v>12</v>
      </c>
      <c r="AC30" s="26"/>
      <c r="AD30" s="32">
        <f t="shared" si="4"/>
        <v>1.155728673841981</v>
      </c>
    </row>
    <row r="31" spans="1:30" x14ac:dyDescent="0.2">
      <c r="A31" s="9">
        <v>16</v>
      </c>
      <c r="B31" s="6">
        <v>406.4</v>
      </c>
      <c r="C31" s="10" t="s">
        <v>10</v>
      </c>
      <c r="D31" s="8">
        <v>12.7</v>
      </c>
      <c r="E31" s="8">
        <v>120</v>
      </c>
      <c r="F31" s="8">
        <f t="shared" si="1"/>
        <v>1599.2669830168616</v>
      </c>
      <c r="G31" s="8">
        <f>(3.14*(B31+E31)*E31*Input!C$2/1000000)*9.81</f>
        <v>389.15783424000006</v>
      </c>
      <c r="H31" s="8">
        <f>((3.14*(B31-2*D31)^2)/4*Input!C$3/1000000)*9.81</f>
        <v>1117.8630868500002</v>
      </c>
      <c r="I31" s="8">
        <f>(Input!C$8/1067)*'Insul+Vapour'!B31</f>
        <v>6.2845360824742267</v>
      </c>
      <c r="J31" s="142">
        <f t="shared" si="2"/>
        <v>30477.434541508992</v>
      </c>
      <c r="K31" s="11">
        <f>(Input!C$9*(Input!C$7+I31)*D31^2)/(0.644*F31*((B31/2)*D31)^0.5)</f>
        <v>21.952388244386878</v>
      </c>
      <c r="L31" s="11">
        <f>((384*Input!$C$4*$J31*Input!$C$5)/(5*$F31*100000))^(1/4)</f>
        <v>11.14989155797595</v>
      </c>
      <c r="M31" s="11">
        <f>((160*Input!$C$6*$J31)/(B31*$F31))^0.5</f>
        <v>15.971706399158164</v>
      </c>
      <c r="N31" s="11">
        <f>((384*Input!$C$4*$J31*Input!$C$5)/(($F31*100000)))^(1/4)</f>
        <v>16.672976751968111</v>
      </c>
      <c r="O31" s="11">
        <f>((240*Input!$C$6*$J31)/($B31*$F31))^0.5</f>
        <v>19.561265499741182</v>
      </c>
      <c r="P31" s="11">
        <f>((185*Input!$G$4*($J31/(2.54)^4)*(Input!$G$5))/($F31*0.00571))^(1/4)*25.4/1000</f>
        <v>13.890816113843195</v>
      </c>
      <c r="Q31" s="11">
        <f>(((16*Input!$G$6*($J31/(2.54)^4))/(($B31/25.4)*($F31*0.00571)))^0.5)*25.4/1000</f>
        <v>15.972036767372858</v>
      </c>
      <c r="R31" s="11">
        <f>((384*Input!$G$4*($J31/(2.54)^4)*(Input!$G$5))/($F31*0.00571))^(1/4)*25.4/1000</f>
        <v>16.673149187928988</v>
      </c>
      <c r="S31" s="11">
        <f>(((24*Input!$G$6*($J31/(2.54)^4))/(($B31/25.4)*($F31*0.00571)))^0.5)*25.4/1000</f>
        <v>19.561670116517803</v>
      </c>
      <c r="T31" s="11">
        <f>((Input!$G$4*($J31/(2.54)^4)*(Input!$G$5))/(17.1*$F31*0.06854))^(1/4)*0.3048</f>
        <v>11.940982189198222</v>
      </c>
      <c r="U31" s="11">
        <f>(((20*Input!$G$6*($J31/(2.54)^4))/(($B31/25.4)*($F31*0.00571)))^0.5)*25.4/1000</f>
        <v>17.857279975485852</v>
      </c>
      <c r="V31" s="11">
        <f>((384*Input!$C$4*$J31*Input!$C$5)/(3*$F31*100000))^(1/4)</f>
        <v>12.668722722184754</v>
      </c>
      <c r="W31" s="11">
        <f>(((200*Input!$C$6*($J31))/($B31*($F31)))^0.5)</f>
        <v>17.856910612593023</v>
      </c>
      <c r="X31" s="11">
        <f t="shared" si="0"/>
        <v>11.14989155797595</v>
      </c>
      <c r="Y31" s="26">
        <v>16</v>
      </c>
      <c r="Z31" s="26">
        <v>15.5</v>
      </c>
      <c r="AA31" s="26">
        <v>15</v>
      </c>
      <c r="AB31" s="26">
        <v>12.9</v>
      </c>
      <c r="AC31" s="26"/>
      <c r="AD31" s="32">
        <f t="shared" si="4"/>
        <v>1.1569619249590037</v>
      </c>
    </row>
    <row r="32" spans="1:30" x14ac:dyDescent="0.2">
      <c r="A32" s="9">
        <v>18</v>
      </c>
      <c r="B32" s="6">
        <v>457.2</v>
      </c>
      <c r="C32" s="10" t="s">
        <v>10</v>
      </c>
      <c r="D32" s="8">
        <v>12.7</v>
      </c>
      <c r="E32" s="8">
        <v>120</v>
      </c>
      <c r="F32" s="8">
        <f t="shared" si="1"/>
        <v>1792.9656042680683</v>
      </c>
      <c r="G32" s="8">
        <f>(3.14*(B32+E32)*E32*Input!C$2/1000000)*9.81</f>
        <v>426.71333952000003</v>
      </c>
      <c r="H32" s="8">
        <f>((3.14*(B32-2*D32)^2)/4*Input!C$3/1000000)*9.81</f>
        <v>1435.8330315540002</v>
      </c>
      <c r="I32" s="8">
        <f>(Input!C$8/1067)*'Insul+Vapour'!B32</f>
        <v>7.0701030927835049</v>
      </c>
      <c r="J32" s="142">
        <f t="shared" si="2"/>
        <v>43853.085513250306</v>
      </c>
      <c r="K32" s="11">
        <f>(Input!C$9*(Input!C$7+I32)*D32^2)/(0.644*F32*((B32/2)*D32)^0.5)</f>
        <v>18.597418592343459</v>
      </c>
      <c r="L32" s="11">
        <f>((384*Input!$C$4*$J32*Input!$C$5)/(5*$F32*100000))^(1/4)</f>
        <v>11.867611860871582</v>
      </c>
      <c r="M32" s="11">
        <f>((160*Input!$C$6*$J32)/(B32*$F32))^0.5</f>
        <v>17.059269798411478</v>
      </c>
      <c r="N32" s="11">
        <f>((384*Input!$C$4*$J32*Input!$C$5)/(($F32*100000)))^(1/4)</f>
        <v>17.746218932160826</v>
      </c>
      <c r="O32" s="11">
        <f>((240*Input!$C$6*$J32)/($B32*$F32))^0.5</f>
        <v>20.893253195289887</v>
      </c>
      <c r="P32" s="11">
        <f>((185*Input!$G$4*($J32/(2.54)^4)*(Input!$G$5))/($F32*0.00571))^(1/4)*25.4/1000</f>
        <v>14.784970168782268</v>
      </c>
      <c r="Q32" s="11">
        <f>(((16*Input!$G$6*($J32/(2.54)^4))/(($B32/25.4)*($F32*0.00571)))^0.5)*25.4/1000</f>
        <v>17.059622662430293</v>
      </c>
      <c r="R32" s="11">
        <f>((384*Input!$G$4*($J32/(2.54)^4)*(Input!$G$5))/($F32*0.00571))^(1/4)*25.4/1000</f>
        <v>17.746402467852086</v>
      </c>
      <c r="S32" s="11">
        <f>(((24*Input!$G$6*($J32/(2.54)^4))/(($B32/25.4)*($F32*0.00571)))^0.5)*25.4/1000</f>
        <v>20.893685363687229</v>
      </c>
      <c r="T32" s="11">
        <f>((Input!$G$4*($J32/(2.54)^4)*(Input!$G$5))/(17.1*$F32*0.06854))^(1/4)*0.3048</f>
        <v>12.709625122552316</v>
      </c>
      <c r="U32" s="11">
        <f>(((20*Input!$G$6*($J32/(2.54)^4))/(($B32/25.4)*($F32*0.00571)))^0.5)*25.4/1000</f>
        <v>19.073237971845042</v>
      </c>
      <c r="V32" s="11">
        <f>((384*Input!$C$4*$J32*Input!$C$5)/(3*$F32*100000))^(1/4)</f>
        <v>13.484210430041689</v>
      </c>
      <c r="W32" s="11">
        <f>(((200*Input!$C$6*($J32))/($B32*($F32)))^0.5)</f>
        <v>19.072843457878601</v>
      </c>
      <c r="X32" s="11">
        <f t="shared" si="0"/>
        <v>11.867611860871582</v>
      </c>
      <c r="Y32" s="26">
        <v>17.5</v>
      </c>
      <c r="Z32" s="26">
        <v>17</v>
      </c>
      <c r="AA32" s="26">
        <v>16</v>
      </c>
      <c r="AB32" s="26">
        <v>13.5</v>
      </c>
      <c r="AC32" s="26"/>
      <c r="AD32" s="32">
        <f t="shared" si="4"/>
        <v>1.137549842231572</v>
      </c>
    </row>
    <row r="33" spans="1:30" x14ac:dyDescent="0.2">
      <c r="A33" s="9">
        <v>20</v>
      </c>
      <c r="B33" s="6">
        <v>508</v>
      </c>
      <c r="C33" s="10" t="s">
        <v>10</v>
      </c>
      <c r="D33" s="8">
        <v>12.7</v>
      </c>
      <c r="E33" s="8">
        <v>140</v>
      </c>
      <c r="F33" s="8">
        <f t="shared" si="1"/>
        <v>2081.2922703192771</v>
      </c>
      <c r="G33" s="8">
        <f>(3.14*(B33+E33)*E33*Input!C$2/1000000)*9.81</f>
        <v>558.89688960000001</v>
      </c>
      <c r="H33" s="8">
        <f>((3.14*(B33-2*D33)^2)/4*Input!C$3/1000000)*9.81</f>
        <v>1793.5492193460002</v>
      </c>
      <c r="I33" s="8">
        <f>(Input!C$8/1067)*'Insul+Vapour'!B33</f>
        <v>7.855670103092784</v>
      </c>
      <c r="J33" s="142">
        <f t="shared" si="2"/>
        <v>60662.583311477778</v>
      </c>
      <c r="K33" s="11">
        <f>(Input!C$9*(Input!C$7+I33)*D33^2)/(0.644*F33*((B33/2)*D33)^0.5)</f>
        <v>15.310436358488879</v>
      </c>
      <c r="L33" s="11">
        <f>((384*Input!$C$4*$J33*Input!$C$5)/(5*$F33*100000))^(1/4)</f>
        <v>12.399473418753537</v>
      </c>
      <c r="M33" s="11">
        <f>((160*Input!$C$6*$J33)/(B33*$F33))^0.5</f>
        <v>17.666947091809472</v>
      </c>
      <c r="N33" s="11">
        <f>((384*Input!$C$4*$J33*Input!$C$5)/(($F33*100000)))^(1/4)</f>
        <v>18.541537464518026</v>
      </c>
      <c r="O33" s="11">
        <f>((240*Input!$C$6*$J33)/($B33*$F33))^0.5</f>
        <v>21.637502843840199</v>
      </c>
      <c r="P33" s="11">
        <f>((185*Input!$G$4*($J33/(2.54)^4)*(Input!$G$5))/($F33*0.00571))^(1/4)*25.4/1000</f>
        <v>15.447576711648184</v>
      </c>
      <c r="Q33" s="11">
        <f>(((16*Input!$G$6*($J33/(2.54)^4))/(($B33/25.4)*($F33*0.00571)))^0.5)*25.4/1000</f>
        <v>17.667312525384567</v>
      </c>
      <c r="R33" s="11">
        <f>((384*Input!$G$4*($J33/(2.54)^4)*(Input!$G$5))/($F33*0.00571))^(1/4)*25.4/1000</f>
        <v>18.541729225586046</v>
      </c>
      <c r="S33" s="11">
        <f>(((24*Input!$G$6*($J33/(2.54)^4))/(($B33/25.4)*($F33*0.00571)))^0.5)*25.4/1000</f>
        <v>21.637950406737129</v>
      </c>
      <c r="T33" s="11">
        <f>((Input!$G$4*($J33/(2.54)^4)*(Input!$G$5))/(17.1*$F33*0.06854))^(1/4)*0.3048</f>
        <v>13.279222535833396</v>
      </c>
      <c r="U33" s="11">
        <f>(((20*Input!$G$6*($J33/(2.54)^4))/(($B33/25.4)*($F33*0.00571)))^0.5)*25.4/1000</f>
        <v>19.752655893246686</v>
      </c>
      <c r="V33" s="11">
        <f>((384*Input!$C$4*$J33*Input!$C$5)/(3*$F33*100000))^(1/4)</f>
        <v>14.088521832386748</v>
      </c>
      <c r="W33" s="11">
        <f>(((200*Input!$C$6*($J33))/($B33*($F33)))^0.5)</f>
        <v>19.752247326089098</v>
      </c>
      <c r="X33" s="11">
        <f t="shared" si="0"/>
        <v>12.399473418753537</v>
      </c>
      <c r="Y33" s="26">
        <v>18</v>
      </c>
      <c r="Z33" s="26">
        <v>17.5</v>
      </c>
      <c r="AA33" s="26">
        <v>17</v>
      </c>
      <c r="AB33" s="26">
        <v>14.5</v>
      </c>
      <c r="AC33" s="26"/>
      <c r="AD33" s="32">
        <f t="shared" si="4"/>
        <v>1.1694044989095689</v>
      </c>
    </row>
    <row r="34" spans="1:30" x14ac:dyDescent="0.2">
      <c r="A34" s="9">
        <v>24</v>
      </c>
      <c r="B34" s="6">
        <v>609.6</v>
      </c>
      <c r="C34" s="10" t="s">
        <v>10</v>
      </c>
      <c r="D34" s="8">
        <v>12.7</v>
      </c>
      <c r="E34" s="8">
        <v>140</v>
      </c>
      <c r="F34" s="8">
        <f t="shared" si="1"/>
        <v>2481.2080145816917</v>
      </c>
      <c r="G34" s="8">
        <f>(3.14*(B34+E34)*E34*Input!C$2/1000000)*9.81</f>
        <v>646.52640192000013</v>
      </c>
      <c r="H34" s="8">
        <f>((3.14*(B34-2*D34)^2)/4*Input!C$3/1000000)*9.81</f>
        <v>2628.2203241940006</v>
      </c>
      <c r="I34" s="8">
        <f>(Input!C$8/1067)*'Insul+Vapour'!B34</f>
        <v>9.4268041237113405</v>
      </c>
      <c r="J34" s="142">
        <f t="shared" si="2"/>
        <v>106152.87793664199</v>
      </c>
      <c r="K34" s="11">
        <f>(Input!C$9*(Input!C$7+I34)*D34^2)/(0.644*F34*((B34/2)*D34)^0.5)</f>
        <v>11.894537933863576</v>
      </c>
      <c r="L34" s="11">
        <f>((384*Input!$C$4*$J34*Input!$C$5)/(5*$F34*100000))^(1/4)</f>
        <v>13.648138906505977</v>
      </c>
      <c r="M34" s="11">
        <f>((160*Input!$C$6*$J34)/(B34*$F34))^0.5</f>
        <v>19.539402063409376</v>
      </c>
      <c r="N34" s="11">
        <f>((384*Input!$C$4*$J34*Input!$C$5)/(($F34*100000)))^(1/4)</f>
        <v>20.408727879781633</v>
      </c>
      <c r="O34" s="11">
        <f>((240*Input!$C$6*$J34)/($B34*$F34))^0.5</f>
        <v>23.930782467218865</v>
      </c>
      <c r="P34" s="11">
        <f>((185*Input!$G$4*($J34/(2.54)^4)*(Input!$G$5))/($F34*0.00571))^(1/4)*25.4/1000</f>
        <v>17.003195668826635</v>
      </c>
      <c r="Q34" s="11">
        <f>(((16*Input!$G$6*($J34/(2.54)^4))/(($B34/25.4)*($F34*0.00571)))^0.5)*25.4/1000</f>
        <v>19.539806227949754</v>
      </c>
      <c r="R34" s="11">
        <f>((384*Input!$G$4*($J34/(2.54)^4)*(Input!$G$5))/($F34*0.00571))^(1/4)*25.4/1000</f>
        <v>20.408938951784837</v>
      </c>
      <c r="S34" s="11">
        <f>(((24*Input!$G$6*($J34/(2.54)^4))/(($B34/25.4)*($F34*0.00571)))^0.5)*25.4/1000</f>
        <v>23.931277465666891</v>
      </c>
      <c r="T34" s="11">
        <f>((Input!$G$4*($J34/(2.54)^4)*(Input!$G$5))/(17.1*$F34*0.06854))^(1/4)*0.3048</f>
        <v>14.616481492298536</v>
      </c>
      <c r="U34" s="11">
        <f>(((20*Input!$G$6*($J34/(2.54)^4))/(($B34/25.4)*($F34*0.00571)))^0.5)*25.4/1000</f>
        <v>21.846167496434703</v>
      </c>
      <c r="V34" s="11">
        <f>((384*Input!$C$4*$J34*Input!$C$5)/(3*$F34*100000))^(1/4)</f>
        <v>15.507279741810651</v>
      </c>
      <c r="W34" s="11">
        <f>(((200*Input!$C$6*($J34))/($B34*($F34)))^0.5)</f>
        <v>21.845715626741512</v>
      </c>
      <c r="X34" s="11">
        <f t="shared" si="0"/>
        <v>13.648138906505977</v>
      </c>
      <c r="Y34" s="26">
        <v>20</v>
      </c>
      <c r="Z34" s="26">
        <v>19</v>
      </c>
      <c r="AA34" s="26">
        <v>18.5</v>
      </c>
      <c r="AB34" s="26">
        <v>15.9</v>
      </c>
      <c r="AC34" s="26"/>
      <c r="AD34" s="32">
        <f t="shared" si="4"/>
        <v>1.1649940045979879</v>
      </c>
    </row>
    <row r="35" spans="1:30" x14ac:dyDescent="0.2">
      <c r="A35" s="5">
        <v>1</v>
      </c>
      <c r="B35" s="6">
        <v>33.4</v>
      </c>
      <c r="C35" s="10" t="s">
        <v>5</v>
      </c>
      <c r="D35" s="7">
        <v>2.77</v>
      </c>
      <c r="E35" s="8">
        <v>40</v>
      </c>
      <c r="F35" s="8">
        <f t="shared" si="1"/>
        <v>38.622163896592383</v>
      </c>
      <c r="G35" s="8">
        <f>(3.14*(B35+E35)*E35*Input!C$2/1000000)*9.81</f>
        <v>18.087756480000003</v>
      </c>
      <c r="H35" s="8">
        <f>((3.14*(B35-2*D35)^2)/4*Input!C$3/1000000)*9.81</f>
        <v>5.9772426726600001</v>
      </c>
      <c r="I35" s="8">
        <f>(Input!C$8/1067)*'Insul+Vapour'!B35</f>
        <v>0.51649484536082479</v>
      </c>
      <c r="J35" s="142">
        <f t="shared" si="2"/>
        <v>3.1527162320150941</v>
      </c>
      <c r="K35" s="11">
        <f>(Input!C$9*(Input!C$7+I35)*D35^2)/(0.644*F35*((B35/2)*D35)^0.5)</f>
        <v>305.45770651215287</v>
      </c>
      <c r="L35" s="11">
        <f>((384*Input!$C$4*$J35*Input!$C$5)/(5*$F35*100000))^(1/4)</f>
        <v>2.8524520631922745</v>
      </c>
      <c r="M35" s="11">
        <f>((160*Input!$C$6*$J35)/(B35*$F35))^0.5</f>
        <v>3.646282865117453</v>
      </c>
      <c r="N35" s="11">
        <f>((384*Input!$C$4*$J35*Input!$C$5)/(($F35*100000)))^(1/4)</f>
        <v>4.2654107161865236</v>
      </c>
      <c r="O35" s="11">
        <f>((240*Input!$C$6*$J35)/($B35*$F35))^0.5</f>
        <v>4.4657662386956298</v>
      </c>
      <c r="P35" s="11">
        <f>((185*Input!$G$4*($J35/(2.54)^4)*(Input!$G$5))/($F35*0.00571))^(1/4)*25.4/1000</f>
        <v>3.55365672189096</v>
      </c>
      <c r="Q35" s="11">
        <f>(((16*Input!$G$6*($J35/(2.54)^4))/(($B35/25.4)*($F35*0.00571)))^0.5)*25.4/1000</f>
        <v>3.6463582869872471</v>
      </c>
      <c r="R35" s="11">
        <f>((384*Input!$G$4*($J35/(2.54)^4)*(Input!$G$5))/($F35*0.00571))^(1/4)*25.4/1000</f>
        <v>4.2654548300964938</v>
      </c>
      <c r="S35" s="11">
        <f>(((24*Input!$G$6*($J35/(2.54)^4))/(($B35/25.4)*($F35*0.00571)))^0.5)*25.4/1000</f>
        <v>4.465858611243851</v>
      </c>
      <c r="T35" s="11">
        <f>((Input!$G$4*($J35/(2.54)^4)*(Input!$G$5))/(17.1*$F35*0.06854))^(1/4)*0.3048</f>
        <v>3.0548350273196561</v>
      </c>
      <c r="U35" s="11">
        <f>(((20*Input!$G$6*($J35/(2.54)^4))/(($B35/25.4)*($F35*0.00571)))^0.5)*25.4/1000</f>
        <v>4.0767525000115858</v>
      </c>
      <c r="V35" s="11">
        <f>((384*Input!$C$4*$J35*Input!$C$5)/(3*$F35*100000))^(1/4)</f>
        <v>3.2410112761192371</v>
      </c>
      <c r="W35" s="11">
        <f>(((200*Input!$C$6*($J35))/($B35*($F35)))^0.5)</f>
        <v>4.0766681757976606</v>
      </c>
      <c r="X35" s="11">
        <f t="shared" si="0"/>
        <v>2.8524520631922745</v>
      </c>
      <c r="Y35" s="26">
        <v>4</v>
      </c>
      <c r="Z35" s="26">
        <v>3.5</v>
      </c>
      <c r="AA35" s="26">
        <v>3</v>
      </c>
      <c r="AB35" s="26">
        <v>3.3</v>
      </c>
      <c r="AC35" s="26">
        <v>4.3</v>
      </c>
      <c r="AD35" s="32">
        <f t="shared" si="4"/>
        <v>1.1568993718011371</v>
      </c>
    </row>
    <row r="36" spans="1:30" x14ac:dyDescent="0.2">
      <c r="A36" s="5">
        <v>1.5</v>
      </c>
      <c r="B36" s="6">
        <v>48.26</v>
      </c>
      <c r="C36" s="10" t="s">
        <v>5</v>
      </c>
      <c r="D36" s="7">
        <v>2.77</v>
      </c>
      <c r="E36" s="8">
        <v>50</v>
      </c>
      <c r="F36" s="8">
        <f t="shared" si="1"/>
        <v>60.763999141690732</v>
      </c>
      <c r="G36" s="8">
        <f>(3.14*(B36+E36)*E36*Input!C$2/1000000)*9.81</f>
        <v>30.267420839999996</v>
      </c>
      <c r="H36" s="8">
        <f>((3.14*(B36-2*D36)^2)/4*Input!C$3/1000000)*9.81</f>
        <v>14.054038928640001</v>
      </c>
      <c r="I36" s="8">
        <f>(Input!C$8/1067)*'Insul+Vapour'!B36</f>
        <v>0.74628865979381442</v>
      </c>
      <c r="J36" s="142">
        <f t="shared" si="2"/>
        <v>10.281623065656644</v>
      </c>
      <c r="K36" s="11">
        <f>(Input!C$9*(Input!C$7+I36)*D36^2)/(0.644*F36*((B36/2)*D36)^0.5)</f>
        <v>161.88724616124253</v>
      </c>
      <c r="L36" s="11">
        <f>((384*Input!$C$4*$J36*Input!$C$5)/(5*$F36*100000))^(1/4)</f>
        <v>3.4226312937410106</v>
      </c>
      <c r="M36" s="11">
        <f>((160*Input!$C$6*$J36)/(B36*$F36))^0.5</f>
        <v>4.3673043244628227</v>
      </c>
      <c r="N36" s="11">
        <f>((384*Input!$C$4*$J36*Input!$C$5)/(($F36*100000)))^(1/4)</f>
        <v>5.1180275336652299</v>
      </c>
      <c r="O36" s="11">
        <f>((240*Input!$C$6*$J36)/($B36*$F36))^0.5</f>
        <v>5.3488335731921506</v>
      </c>
      <c r="P36" s="11">
        <f>((185*Input!$G$4*($J36/(2.54)^4)*(Input!$G$5))/($F36*0.00571))^(1/4)*25.4/1000</f>
        <v>4.264000387773474</v>
      </c>
      <c r="Q36" s="11">
        <f>(((16*Input!$G$6*($J36/(2.54)^4))/(($B36/25.4)*($F36*0.00571)))^0.5)*25.4/1000</f>
        <v>4.3673946603666174</v>
      </c>
      <c r="R36" s="11">
        <f>((384*Input!$G$4*($J36/(2.54)^4)*(Input!$G$5))/($F36*0.00571))^(1/4)*25.4/1000</f>
        <v>5.1180804655446863</v>
      </c>
      <c r="S36" s="11">
        <f>(((24*Input!$G$6*($J36/(2.54)^4))/(($B36/25.4)*($F36*0.00571)))^0.5)*25.4/1000</f>
        <v>5.3489442116270256</v>
      </c>
      <c r="T36" s="11">
        <f>((Input!$G$4*($J36/(2.54)^4)*(Input!$G$5))/(17.1*$F36*0.06854))^(1/4)*0.3048</f>
        <v>3.6654687721620296</v>
      </c>
      <c r="U36" s="11">
        <f>(((20*Input!$G$6*($J36/(2.54)^4))/(($B36/25.4)*($F36*0.00571)))^0.5)*25.4/1000</f>
        <v>4.8828956725746817</v>
      </c>
      <c r="V36" s="11">
        <f>((384*Input!$C$4*$J36*Input!$C$5)/(3*$F36*100000))^(1/4)</f>
        <v>3.8888599602262497</v>
      </c>
      <c r="W36" s="11">
        <f>(((200*Input!$C$6*($J36))/($B36*($F36)))^0.5)</f>
        <v>4.8827946739638346</v>
      </c>
      <c r="X36" s="11">
        <f t="shared" si="0"/>
        <v>3.4226312937410106</v>
      </c>
      <c r="Y36" s="26">
        <v>5</v>
      </c>
      <c r="Z36" s="26">
        <v>4.5</v>
      </c>
      <c r="AA36" s="26">
        <v>3.5</v>
      </c>
      <c r="AB36" s="26">
        <v>3.9</v>
      </c>
      <c r="AC36" s="26">
        <v>4.8</v>
      </c>
      <c r="AD36" s="32">
        <f t="shared" si="4"/>
        <v>1.1394741838339282</v>
      </c>
    </row>
    <row r="37" spans="1:30" x14ac:dyDescent="0.2">
      <c r="A37" s="5">
        <v>2</v>
      </c>
      <c r="B37" s="6">
        <v>60.32</v>
      </c>
      <c r="C37" s="10" t="s">
        <v>5</v>
      </c>
      <c r="D37" s="7">
        <v>2.77</v>
      </c>
      <c r="E37" s="8">
        <v>50</v>
      </c>
      <c r="F37" s="8">
        <f t="shared" si="1"/>
        <v>72.563935000956263</v>
      </c>
      <c r="G37" s="8">
        <f>(3.14*(B37+E37)*E37*Input!C$2/1000000)*9.81</f>
        <v>33.98231088</v>
      </c>
      <c r="H37" s="8">
        <f>((3.14*(B37-2*D37)^2)/4*Input!C$3/1000000)*9.81</f>
        <v>23.109083401140005</v>
      </c>
      <c r="I37" s="8">
        <f>(Input!C$8/1067)*'Insul+Vapour'!B37</f>
        <v>0.93278350515463926</v>
      </c>
      <c r="J37" s="142">
        <f t="shared" si="2"/>
        <v>20.78966420693579</v>
      </c>
      <c r="K37" s="11">
        <f>(Input!C$9*(Input!C$7+I37)*D37^2)/(0.644*F37*((B37/2)*D37)^0.5)</f>
        <v>121.47987741831706</v>
      </c>
      <c r="L37" s="11">
        <f>((384*Input!$C$4*$J37*Input!$C$5)/(5*$F37*100000))^(1/4)</f>
        <v>3.904252947353152</v>
      </c>
      <c r="M37" s="11">
        <f>((160*Input!$C$6*$J37)/(B37*$F37))^0.5</f>
        <v>5.0831404298965133</v>
      </c>
      <c r="N37" s="11">
        <f>((384*Input!$C$4*$J37*Input!$C$5)/(($F37*100000)))^(1/4)</f>
        <v>5.8382198864038939</v>
      </c>
      <c r="O37" s="11">
        <f>((240*Input!$C$6*$J37)/($B37*$F37))^0.5</f>
        <v>6.2255501720789921</v>
      </c>
      <c r="P37" s="11">
        <f>((185*Input!$G$4*($J37/(2.54)^4)*(Input!$G$5))/($F37*0.00571))^(1/4)*25.4/1000</f>
        <v>4.8640167908016823</v>
      </c>
      <c r="Q37" s="11">
        <f>(((16*Input!$G$6*($J37/(2.54)^4))/(($B37/25.4)*($F37*0.00571)))^0.5)*25.4/1000</f>
        <v>5.0832455725773835</v>
      </c>
      <c r="R37" s="11">
        <f>((384*Input!$G$4*($J37/(2.54)^4)*(Input!$G$5))/($F37*0.00571))^(1/4)*25.4/1000</f>
        <v>5.8382802666869651</v>
      </c>
      <c r="S37" s="11">
        <f>(((24*Input!$G$6*($J37/(2.54)^4))/(($B37/25.4)*($F37*0.00571)))^0.5)*25.4/1000</f>
        <v>6.2256789450381511</v>
      </c>
      <c r="T37" s="11">
        <f>((Input!$G$4*($J37/(2.54)^4)*(Input!$G$5))/(17.1*$F37*0.06854))^(1/4)*0.3048</f>
        <v>4.1812617337178599</v>
      </c>
      <c r="U37" s="11">
        <f>(((20*Input!$G$6*($J37/(2.54)^4))/(($B37/25.4)*($F37*0.00571)))^0.5)*25.4/1000</f>
        <v>5.6832413233039354</v>
      </c>
      <c r="V37" s="11">
        <f>((384*Input!$C$4*$J37*Input!$C$5)/(3*$F37*100000))^(1/4)</f>
        <v>4.4360878103704655</v>
      </c>
      <c r="W37" s="11">
        <f>(((200*Input!$C$6*($J37))/($B37*($F37)))^0.5)</f>
        <v>5.6831237702130544</v>
      </c>
      <c r="X37" s="11">
        <f t="shared" si="0"/>
        <v>3.904252947353152</v>
      </c>
      <c r="Y37" s="26">
        <v>5</v>
      </c>
      <c r="Z37" s="26">
        <v>4.5</v>
      </c>
      <c r="AA37" s="26">
        <v>3.5</v>
      </c>
      <c r="AB37" s="26">
        <v>4</v>
      </c>
      <c r="AC37" s="26">
        <v>5.4</v>
      </c>
      <c r="AD37" s="32">
        <f t="shared" si="4"/>
        <v>1.0245237831508225</v>
      </c>
    </row>
    <row r="38" spans="1:30" x14ac:dyDescent="0.2">
      <c r="A38" s="5">
        <v>2.5</v>
      </c>
      <c r="B38" s="6">
        <v>73.02</v>
      </c>
      <c r="C38" s="10" t="s">
        <v>5</v>
      </c>
      <c r="D38" s="7">
        <v>3.05</v>
      </c>
      <c r="E38" s="8">
        <v>50</v>
      </c>
      <c r="F38" s="8">
        <f t="shared" si="1"/>
        <v>89.543961634587248</v>
      </c>
      <c r="G38" s="8">
        <f>(3.14*(B38+E38)*E38*Input!C$2/1000000)*9.81</f>
        <v>37.894342680000001</v>
      </c>
      <c r="H38" s="8">
        <f>((3.14*(B38-2*D38)^2)/4*Input!C$3/1000000)*9.81</f>
        <v>34.486611823440001</v>
      </c>
      <c r="I38" s="8">
        <f>(Input!C$8/1067)*'Insul+Vapour'!B38</f>
        <v>1.1291752577319587</v>
      </c>
      <c r="J38" s="142">
        <f t="shared" si="2"/>
        <v>41.123174964914639</v>
      </c>
      <c r="K38" s="11">
        <f>(Input!C$9*(Input!C$7+I38)*D38^2)/(0.644*F38*((B38/2)*D38)^0.5)</f>
        <v>103.57929212087235</v>
      </c>
      <c r="L38" s="11">
        <f>((384*Input!$C$4*$J38*Input!$C$5)/(5*$F38*100000))^(1/4)</f>
        <v>4.3930775290855619</v>
      </c>
      <c r="M38" s="11">
        <f>((160*Input!$C$6*$J38)/(B38*$F38))^0.5</f>
        <v>5.8492973850937995</v>
      </c>
      <c r="N38" s="11">
        <f>((384*Input!$C$4*$J38*Input!$C$5)/(($F38*100000)))^(1/4)</f>
        <v>6.5691831289284268</v>
      </c>
      <c r="O38" s="11">
        <f>((240*Input!$C$6*$J38)/($B38*$F38))^0.5</f>
        <v>7.1638969736378639</v>
      </c>
      <c r="P38" s="11">
        <f>((185*Input!$G$4*($J38/(2.54)^4)*(Input!$G$5))/($F38*0.00571))^(1/4)*25.4/1000</f>
        <v>5.4730067833468539</v>
      </c>
      <c r="Q38" s="11">
        <f>(((16*Input!$G$6*($J38/(2.54)^4))/(($B38/25.4)*($F38*0.00571)))^0.5)*25.4/1000</f>
        <v>5.8494183754179421</v>
      </c>
      <c r="R38" s="11">
        <f>((384*Input!$G$4*($J38/(2.54)^4)*(Input!$G$5))/($F38*0.00571))^(1/4)*25.4/1000</f>
        <v>6.5692510690102663</v>
      </c>
      <c r="S38" s="11">
        <f>(((24*Input!$G$6*($J38/(2.54)^4))/(($B38/25.4)*($F38*0.00571)))^0.5)*25.4/1000</f>
        <v>7.1640451559168454</v>
      </c>
      <c r="T38" s="11">
        <f>((Input!$G$4*($J38/(2.54)^4)*(Input!$G$5))/(17.1*$F38*0.06854))^(1/4)*0.3048</f>
        <v>4.7047686749072133</v>
      </c>
      <c r="U38" s="11">
        <f>(((20*Input!$G$6*($J38/(2.54)^4))/(($B38/25.4)*($F38*0.00571)))^0.5)*25.4/1000</f>
        <v>6.5398485581354509</v>
      </c>
      <c r="V38" s="11">
        <f>((384*Input!$C$4*$J38*Input!$C$5)/(3*$F38*100000))^(1/4)</f>
        <v>4.9914997669402057</v>
      </c>
      <c r="W38" s="11">
        <f>(((200*Input!$C$6*($J38))/($B38*($F38)))^0.5)</f>
        <v>6.539713286840751</v>
      </c>
      <c r="X38" s="11">
        <f t="shared" si="0"/>
        <v>4.3930775290855619</v>
      </c>
      <c r="Y38" s="26">
        <v>6.5</v>
      </c>
      <c r="Z38" s="26">
        <v>5.5</v>
      </c>
      <c r="AA38" s="26">
        <v>4.5</v>
      </c>
      <c r="AB38" s="26" t="s">
        <v>6</v>
      </c>
      <c r="AC38" s="26" t="s">
        <v>6</v>
      </c>
      <c r="AD38" s="33" t="s">
        <v>6</v>
      </c>
    </row>
    <row r="39" spans="1:30" x14ac:dyDescent="0.2">
      <c r="A39" s="9">
        <v>3</v>
      </c>
      <c r="B39" s="6">
        <v>88.9</v>
      </c>
      <c r="C39" s="10" t="s">
        <v>5</v>
      </c>
      <c r="D39" s="7">
        <v>3.05</v>
      </c>
      <c r="E39" s="8">
        <v>100</v>
      </c>
      <c r="F39" s="8">
        <f t="shared" si="1"/>
        <v>179.74697290117649</v>
      </c>
      <c r="G39" s="8">
        <f>(3.14*(B39+E39)*E39*Input!C$2/1000000)*9.81</f>
        <v>116.37524520000004</v>
      </c>
      <c r="H39" s="8">
        <f>((3.14*(B39-2*D39)^2)/4*Input!C$3/1000000)*9.81</f>
        <v>52.795795464000015</v>
      </c>
      <c r="I39" s="8">
        <f>(Input!C$8/1067)*'Insul+Vapour'!B39</f>
        <v>1.3747422680412373</v>
      </c>
      <c r="J39" s="142">
        <f t="shared" si="2"/>
        <v>75.909355601008983</v>
      </c>
      <c r="K39" s="11">
        <f>(Input!C$9*(Input!C$7+I39)*D39^2)/(0.644*F39*((B39/2)*D39)^0.5)</f>
        <v>46.878206694530668</v>
      </c>
      <c r="L39" s="11">
        <f>((384*Input!$C$4*$J39*Input!$C$5)/(5*$F39*100000))^(1/4)</f>
        <v>4.3019436207251074</v>
      </c>
      <c r="M39" s="11">
        <f>((160*Input!$C$6*$J39)/(B39*$F39))^0.5</f>
        <v>5.0835304477546988</v>
      </c>
      <c r="N39" s="11">
        <f>((384*Input!$C$4*$J39*Input!$C$5)/(($F39*100000)))^(1/4)</f>
        <v>6.432906150133693</v>
      </c>
      <c r="O39" s="11">
        <f>((240*Input!$C$6*$J39)/($B39*$F39))^0.5</f>
        <v>6.2260278444505559</v>
      </c>
      <c r="P39" s="11">
        <f>((185*Input!$G$4*($J39/(2.54)^4)*(Input!$G$5))/($F39*0.00571))^(1/4)*25.4/1000</f>
        <v>5.3594698618271668</v>
      </c>
      <c r="Q39" s="11">
        <f>(((16*Input!$G$6*($J39/(2.54)^4))/(($B39/25.4)*($F39*0.00571)))^0.5)*25.4/1000</f>
        <v>5.0836355985029282</v>
      </c>
      <c r="R39" s="11">
        <f>((384*Input!$G$4*($J39/(2.54)^4)*(Input!$G$5))/($F39*0.00571))^(1/4)*25.4/1000</f>
        <v>6.432972680806035</v>
      </c>
      <c r="S39" s="11">
        <f>(((24*Input!$G$6*($J39/(2.54)^4))/(($B39/25.4)*($F39*0.00571)))^0.5)*25.4/1000</f>
        <v>6.2261566272901732</v>
      </c>
      <c r="T39" s="11">
        <f>((Input!$G$4*($J39/(2.54)^4)*(Input!$G$5))/(17.1*$F39*0.06854))^(1/4)*0.3048</f>
        <v>4.6071687681363027</v>
      </c>
      <c r="U39" s="11">
        <f>(((20*Input!$G$6*($J39/(2.54)^4))/(($B39/25.4)*($F39*0.00571)))^0.5)*25.4/1000</f>
        <v>5.6836773855451881</v>
      </c>
      <c r="V39" s="11">
        <f>((384*Input!$C$4*$J39*Input!$C$5)/(3*$F39*100000))^(1/4)</f>
        <v>4.8879516553191822</v>
      </c>
      <c r="W39" s="11">
        <f>(((200*Input!$C$6*($J39))/($B39*($F39)))^0.5)</f>
        <v>5.6835598234347255</v>
      </c>
      <c r="X39" s="11">
        <f t="shared" si="0"/>
        <v>4.3019436207251074</v>
      </c>
      <c r="Y39" s="26">
        <v>7</v>
      </c>
      <c r="Z39" s="26">
        <v>6</v>
      </c>
      <c r="AA39" s="26">
        <v>5</v>
      </c>
      <c r="AB39" s="26">
        <v>4.3</v>
      </c>
      <c r="AC39" s="26">
        <v>7</v>
      </c>
      <c r="AD39" s="32">
        <f t="shared" ref="AD39:AD49" si="5">AB39/MIN(L39:W39)</f>
        <v>0.99954819939625805</v>
      </c>
    </row>
    <row r="40" spans="1:30" x14ac:dyDescent="0.2">
      <c r="A40" s="9">
        <v>4</v>
      </c>
      <c r="B40" s="6">
        <v>114.3</v>
      </c>
      <c r="C40" s="10" t="s">
        <v>5</v>
      </c>
      <c r="D40" s="7">
        <v>3.05</v>
      </c>
      <c r="E40" s="8">
        <v>100</v>
      </c>
      <c r="F40" s="8">
        <f t="shared" si="1"/>
        <v>214.14456875126251</v>
      </c>
      <c r="G40" s="8">
        <f>(3.14*(B40+E40)*E40*Input!C$2/1000000)*9.81</f>
        <v>132.02337240000003</v>
      </c>
      <c r="H40" s="8">
        <f>((3.14*(B40-2*D40)^2)/4*Input!C$3/1000000)*9.81</f>
        <v>90.155699154000004</v>
      </c>
      <c r="I40" s="8">
        <f>(Input!C$8/1067)*'Insul+Vapour'!B40</f>
        <v>1.7675257731958762</v>
      </c>
      <c r="J40" s="142">
        <f t="shared" si="2"/>
        <v>165.10223735776398</v>
      </c>
      <c r="K40" s="11">
        <f>(Input!C$9*(Input!C$7+I40)*D40^2)/(0.644*F40*((B40/2)*D40)^0.5)</f>
        <v>34.83635670012761</v>
      </c>
      <c r="L40" s="11">
        <f>((384*Input!$C$4*$J40*Input!$C$5)/(5*$F40*100000))^(1/4)</f>
        <v>5.0005498167411124</v>
      </c>
      <c r="M40" s="11">
        <f>((160*Input!$C$6*$J40)/(B40*$F40))^0.5</f>
        <v>6.0575817227307525</v>
      </c>
      <c r="N40" s="11">
        <f>((384*Input!$C$4*$J40*Input!$C$5)/(($F40*100000)))^(1/4)</f>
        <v>7.4775660738998209</v>
      </c>
      <c r="O40" s="11">
        <f>((240*Input!$C$6*$J40)/($B40*$F40))^0.5</f>
        <v>7.4189921479499148</v>
      </c>
      <c r="P40" s="11">
        <f>((185*Input!$G$4*($J40/(2.54)^4)*(Input!$G$5))/($F40*0.00571))^(1/4)*25.4/1000</f>
        <v>6.2298110803395597</v>
      </c>
      <c r="Q40" s="11">
        <f>(((16*Input!$G$6*($J40/(2.54)^4))/(($B40/25.4)*($F40*0.00571)))^0.5)*25.4/1000</f>
        <v>6.0577070213312325</v>
      </c>
      <c r="R40" s="11">
        <f>((384*Input!$G$4*($J40/(2.54)^4)*(Input!$G$5))/($F40*0.00571))^(1/4)*25.4/1000</f>
        <v>7.4776434086979284</v>
      </c>
      <c r="S40" s="11">
        <f>(((24*Input!$G$6*($J40/(2.54)^4))/(($B40/25.4)*($F40*0.00571)))^0.5)*25.4/1000</f>
        <v>7.4191456067682466</v>
      </c>
      <c r="T40" s="11">
        <f>((Input!$G$4*($J40/(2.54)^4)*(Input!$G$5))/(17.1*$F40*0.06854))^(1/4)*0.3048</f>
        <v>5.3553414387416272</v>
      </c>
      <c r="U40" s="11">
        <f>(((20*Input!$G$6*($J40/(2.54)^4))/(($B40/25.4)*($F40*0.00571)))^0.5)*25.4/1000</f>
        <v>6.7727223437372031</v>
      </c>
      <c r="V40" s="11">
        <f>((384*Input!$C$4*$J40*Input!$C$5)/(3*$F40*100000))^(1/4)</f>
        <v>5.6817215447667566</v>
      </c>
      <c r="W40" s="11">
        <f>(((200*Input!$C$6*($J40))/($B40*($F40)))^0.5)</f>
        <v>6.7725822556431226</v>
      </c>
      <c r="X40" s="11">
        <f t="shared" si="0"/>
        <v>5.0005498167411124</v>
      </c>
      <c r="Y40" s="26">
        <v>7.5</v>
      </c>
      <c r="Z40" s="26">
        <v>7</v>
      </c>
      <c r="AA40" s="26">
        <v>6</v>
      </c>
      <c r="AB40" s="26">
        <v>6</v>
      </c>
      <c r="AC40" s="26"/>
      <c r="AD40" s="32">
        <f t="shared" si="5"/>
        <v>1.1998680584908632</v>
      </c>
    </row>
    <row r="41" spans="1:30" x14ac:dyDescent="0.2">
      <c r="A41" s="9">
        <v>6</v>
      </c>
      <c r="B41" s="6">
        <v>168.27</v>
      </c>
      <c r="C41" s="10" t="s">
        <v>5</v>
      </c>
      <c r="D41" s="8">
        <v>3.4</v>
      </c>
      <c r="E41" s="8">
        <v>100</v>
      </c>
      <c r="F41" s="8">
        <f t="shared" si="1"/>
        <v>300.94010653910061</v>
      </c>
      <c r="G41" s="8">
        <f>(3.14*(B41+E41)*E41*Input!C$2/1000000)*9.81</f>
        <v>165.27256236000002</v>
      </c>
      <c r="H41" s="8">
        <f>((3.14*(B41-2*D41)^2)/4*Input!C$3/1000000)*9.81</f>
        <v>200.78088060676504</v>
      </c>
      <c r="I41" s="8">
        <f>(Input!C$8/1067)*'Insul+Vapour'!B41</f>
        <v>2.6021134020618559</v>
      </c>
      <c r="J41" s="142">
        <f t="shared" si="2"/>
        <v>598.84612773637616</v>
      </c>
      <c r="K41" s="11">
        <f>(Input!C$9*(Input!C$7+I41)*D41^2)/(0.644*F41*((B41/2)*D41)^0.5)</f>
        <v>24.243493243440259</v>
      </c>
      <c r="L41" s="11">
        <f>((384*Input!$C$4*$J41*Input!$C$5)/(5*$F41*100000))^(1/4)</f>
        <v>6.3381874383652024</v>
      </c>
      <c r="M41" s="11">
        <f>((160*Input!$C$6*$J41)/(B41*$F41))^0.5</f>
        <v>8.0207261787497579</v>
      </c>
      <c r="N41" s="11">
        <f>((384*Input!$C$4*$J41*Input!$C$5)/(($F41*100000)))^(1/4)</f>
        <v>9.4778008611110582</v>
      </c>
      <c r="O41" s="11">
        <f>((240*Input!$C$6*$J41)/($B41*$F41))^0.5</f>
        <v>9.8233432522600239</v>
      </c>
      <c r="P41" s="11">
        <f>((185*Input!$G$4*($J41/(2.54)^4)*(Input!$G$5))/($F41*0.00571))^(1/4)*25.4/1000</f>
        <v>7.8962737658575364</v>
      </c>
      <c r="Q41" s="11">
        <f>(((16*Input!$G$6*($J41/(2.54)^4))/(($B41/25.4)*($F41*0.00571)))^0.5)*25.4/1000</f>
        <v>8.0208920841904181</v>
      </c>
      <c r="R41" s="11">
        <f>((384*Input!$G$4*($J41/(2.54)^4)*(Input!$G$5))/($F41*0.00571))^(1/4)*25.4/1000</f>
        <v>9.4778988828214477</v>
      </c>
      <c r="S41" s="11">
        <f>(((24*Input!$G$6*($J41/(2.54)^4))/(($B41/25.4)*($F41*0.00571)))^0.5)*25.4/1000</f>
        <v>9.8235464440976106</v>
      </c>
      <c r="T41" s="11">
        <f>((Input!$G$4*($J41/(2.54)^4)*(Input!$G$5))/(17.1*$F41*0.06854))^(1/4)*0.3048</f>
        <v>6.7878851484594893</v>
      </c>
      <c r="U41" s="11">
        <f>(((20*Input!$G$6*($J41/(2.54)^4))/(($B41/25.4)*($F41*0.00571)))^0.5)*25.4/1000</f>
        <v>8.9676299702198712</v>
      </c>
      <c r="V41" s="11">
        <f>((384*Input!$C$4*$J41*Input!$C$5)/(3*$F41*100000))^(1/4)</f>
        <v>7.2015713157715746</v>
      </c>
      <c r="W41" s="11">
        <f>(((200*Input!$C$6*($J41))/($B41*($F41)))^0.5)</f>
        <v>8.9674444822982942</v>
      </c>
      <c r="X41" s="11">
        <f t="shared" si="0"/>
        <v>6.3381874383652024</v>
      </c>
      <c r="Y41" s="26">
        <v>9.5</v>
      </c>
      <c r="Z41" s="26">
        <v>9</v>
      </c>
      <c r="AA41" s="26">
        <v>8</v>
      </c>
      <c r="AB41" s="26">
        <v>7</v>
      </c>
      <c r="AC41" s="26"/>
      <c r="AD41" s="32">
        <f t="shared" si="5"/>
        <v>1.104416691375965</v>
      </c>
    </row>
    <row r="42" spans="1:30" x14ac:dyDescent="0.2">
      <c r="A42" s="9">
        <v>8</v>
      </c>
      <c r="B42" s="6">
        <v>219.07</v>
      </c>
      <c r="C42" s="10" t="s">
        <v>5</v>
      </c>
      <c r="D42" s="7">
        <v>3.76</v>
      </c>
      <c r="E42" s="8">
        <v>120</v>
      </c>
      <c r="F42" s="8">
        <f t="shared" si="1"/>
        <v>446.60115179688569</v>
      </c>
      <c r="G42" s="8">
        <f>(3.14*(B42+E42)*E42*Input!C$2/1000000)*9.81</f>
        <v>250.66821211200005</v>
      </c>
      <c r="H42" s="8">
        <f>((3.14*(B42-2*D42)^2)/4*Input!C$3/1000000)*9.81</f>
        <v>344.63923964212489</v>
      </c>
      <c r="I42" s="8">
        <f>(Input!C$8/1067)*'Insul+Vapour'!B42</f>
        <v>3.3876804123711342</v>
      </c>
      <c r="J42" s="142">
        <f t="shared" si="2"/>
        <v>1474.8220729655541</v>
      </c>
      <c r="K42" s="11">
        <f>(Input!C$9*(Input!C$7+I42)*D42^2)/(0.644*F42*((B42/2)*D42)^0.5)</f>
        <v>16.778116256744667</v>
      </c>
      <c r="L42" s="11">
        <f>((384*Input!$C$4*$J42*Input!$C$5)/(5*$F42*100000))^(1/4)</f>
        <v>7.1938475821575061</v>
      </c>
      <c r="M42" s="11">
        <f>((160*Input!$C$6*$J42)/(B42*$F42))^0.5</f>
        <v>9.0556137609768932</v>
      </c>
      <c r="N42" s="11">
        <f>((384*Input!$C$4*$J42*Input!$C$5)/(($F42*100000)))^(1/4)</f>
        <v>10.757311214270452</v>
      </c>
      <c r="O42" s="11">
        <f>((240*Input!$C$6*$J42)/($B42*$F42))^0.5</f>
        <v>11.090816511059549</v>
      </c>
      <c r="P42" s="11">
        <f>((185*Input!$G$4*($J42/(2.54)^4)*(Input!$G$5))/($F42*0.00571))^(1/4)*25.4/1000</f>
        <v>8.9622767535602375</v>
      </c>
      <c r="Q42" s="11">
        <f>(((16*Input!$G$6*($J42/(2.54)^4))/(($B42/25.4)*($F42*0.00571)))^0.5)*25.4/1000</f>
        <v>9.0558010726439395</v>
      </c>
      <c r="R42" s="11">
        <f>((384*Input!$G$4*($J42/(2.54)^4)*(Input!$G$5))/($F42*0.00571))^(1/4)*25.4/1000</f>
        <v>10.757422468986588</v>
      </c>
      <c r="S42" s="11">
        <f>(((24*Input!$G$6*($J42/(2.54)^4))/(($B42/25.4)*($F42*0.00571)))^0.5)*25.4/1000</f>
        <v>11.091045920063117</v>
      </c>
      <c r="T42" s="11">
        <f>((Input!$G$4*($J42/(2.54)^4)*(Input!$G$5))/(17.1*$F42*0.06854))^(1/4)*0.3048</f>
        <v>7.7042548264875936</v>
      </c>
      <c r="U42" s="11">
        <f>(((20*Input!$G$6*($J42/(2.54)^4))/(($B42/25.4)*($F42*0.00571)))^0.5)*25.4/1000</f>
        <v>10.124693394573677</v>
      </c>
      <c r="V42" s="11">
        <f>((384*Input!$C$4*$J42*Input!$C$5)/(3*$F42*100000))^(1/4)</f>
        <v>8.173788942262755</v>
      </c>
      <c r="W42" s="11">
        <f>(((200*Input!$C$6*($J42))/($B42*($F42)))^0.5)</f>
        <v>10.124483973763432</v>
      </c>
      <c r="X42" s="11">
        <f t="shared" si="0"/>
        <v>7.1938475821575061</v>
      </c>
      <c r="Y42" s="26">
        <v>11</v>
      </c>
      <c r="Z42" s="26">
        <v>10.5</v>
      </c>
      <c r="AA42" s="26">
        <v>10</v>
      </c>
      <c r="AB42" s="26">
        <v>8.6999999999999993</v>
      </c>
      <c r="AC42" s="26"/>
      <c r="AD42" s="32">
        <f t="shared" si="5"/>
        <v>1.2093667402098034</v>
      </c>
    </row>
    <row r="43" spans="1:30" x14ac:dyDescent="0.2">
      <c r="A43" s="9">
        <v>10</v>
      </c>
      <c r="B43" s="6">
        <v>273.05</v>
      </c>
      <c r="C43" s="10" t="s">
        <v>5</v>
      </c>
      <c r="D43" s="7">
        <v>4.1900000000000004</v>
      </c>
      <c r="E43" s="8">
        <v>120</v>
      </c>
      <c r="F43" s="8">
        <f t="shared" si="1"/>
        <v>563.21843269784245</v>
      </c>
      <c r="G43" s="8">
        <f>(3.14*(B43+E43)*E43*Input!C$2/1000000)*9.81</f>
        <v>290.57463288000002</v>
      </c>
      <c r="H43" s="8">
        <f>((3.14*(B43-2*D43)^2)/4*Input!C$3/1000000)*9.81</f>
        <v>539.44615120756509</v>
      </c>
      <c r="I43" s="8">
        <f>(Input!C$8/1067)*'Insul+Vapour'!B43</f>
        <v>4.2224226804123717</v>
      </c>
      <c r="J43" s="142">
        <f t="shared" si="2"/>
        <v>3199.8146914381359</v>
      </c>
      <c r="K43" s="11">
        <f>(Input!C$9*(Input!C$7+I43)*D43^2)/(0.644*F43*((B43/2)*D43)^0.5)</f>
        <v>14.13149736019276</v>
      </c>
      <c r="L43" s="11">
        <f>((384*Input!$C$4*$J43*Input!$C$5)/(5*$F43*100000))^(1/4)</f>
        <v>8.2388818833775055</v>
      </c>
      <c r="M43" s="11">
        <f>((160*Input!$C$6*$J43)/(B43*$F43))^0.5</f>
        <v>10.639037595892033</v>
      </c>
      <c r="N43" s="11">
        <f>((384*Input!$C$4*$J43*Input!$C$5)/(($F43*100000)))^(1/4)</f>
        <v>12.320001982934144</v>
      </c>
      <c r="O43" s="11">
        <f>((240*Input!$C$6*$J43)/($B43*$F43))^0.5</f>
        <v>13.03010673211107</v>
      </c>
      <c r="P43" s="11">
        <f>((185*Input!$G$4*($J43/(2.54)^4)*(Input!$G$5))/($F43*0.00571))^(1/4)*25.4/1000</f>
        <v>10.264206842783526</v>
      </c>
      <c r="Q43" s="11">
        <f>(((16*Input!$G$6*($J43/(2.54)^4))/(($B43/25.4)*($F43*0.00571)))^0.5)*25.4/1000</f>
        <v>10.639257660033509</v>
      </c>
      <c r="R43" s="11">
        <f>((384*Input!$G$4*($J43/(2.54)^4)*(Input!$G$5))/($F43*0.00571))^(1/4)*25.4/1000</f>
        <v>12.320129399376425</v>
      </c>
      <c r="S43" s="11">
        <f>(((24*Input!$G$6*($J43/(2.54)^4))/(($B43/25.4)*($F43*0.00571)))^0.5)*25.4/1000</f>
        <v>13.030376254539718</v>
      </c>
      <c r="T43" s="11">
        <f>((Input!$G$4*($J43/(2.54)^4)*(Input!$G$5))/(17.1*$F43*0.06854))^(1/4)*0.3048</f>
        <v>8.8234348573501062</v>
      </c>
      <c r="U43" s="11">
        <f>(((20*Input!$G$6*($J43/(2.54)^4))/(($B43/25.4)*($F43*0.00571)))^0.5)*25.4/1000</f>
        <v>11.895051678985137</v>
      </c>
      <c r="V43" s="11">
        <f>((384*Input!$C$4*$J43*Input!$C$5)/(3*$F43*100000))^(1/4)</f>
        <v>9.361177153931747</v>
      </c>
      <c r="W43" s="11">
        <f>(((200*Input!$C$6*($J43))/($B43*($F43)))^0.5)</f>
        <v>11.894805639795262</v>
      </c>
      <c r="X43" s="11">
        <f t="shared" si="0"/>
        <v>8.2388818833775055</v>
      </c>
      <c r="Y43" s="26">
        <v>12.5</v>
      </c>
      <c r="Z43" s="26">
        <v>12</v>
      </c>
      <c r="AA43" s="26">
        <v>11</v>
      </c>
      <c r="AB43" s="26">
        <v>9.9</v>
      </c>
      <c r="AC43" s="26"/>
      <c r="AD43" s="32">
        <f t="shared" si="5"/>
        <v>1.2016193629349041</v>
      </c>
    </row>
    <row r="44" spans="1:30" x14ac:dyDescent="0.2">
      <c r="A44" s="9">
        <v>12</v>
      </c>
      <c r="B44" s="6">
        <v>323.85000000000002</v>
      </c>
      <c r="C44" s="10" t="s">
        <v>5</v>
      </c>
      <c r="D44" s="7">
        <v>4.57</v>
      </c>
      <c r="E44" s="8">
        <v>120</v>
      </c>
      <c r="F44" s="8">
        <f t="shared" si="1"/>
        <v>681.26721963979162</v>
      </c>
      <c r="G44" s="8">
        <f>(3.14*(B44+E44)*E44*Input!C$2/1000000)*9.81</f>
        <v>328.13013816000006</v>
      </c>
      <c r="H44" s="8">
        <f>((3.14*(B44-2*D44)^2)/4*Input!C$3/1000000)*9.81</f>
        <v>762.71054359648531</v>
      </c>
      <c r="I44" s="8">
        <f>(Input!C$8/1067)*'Insul+Vapour'!B44</f>
        <v>5.0079896907216499</v>
      </c>
      <c r="J44" s="142">
        <f t="shared" si="2"/>
        <v>5844.496041878625</v>
      </c>
      <c r="K44" s="11">
        <f>(Input!C$9*(Input!C$7+I44)*D44^2)/(0.644*F44*((B44/2)*D44)^0.5)</f>
        <v>12.311504672577998</v>
      </c>
      <c r="L44" s="11">
        <f>((384*Input!$C$4*$J44*Input!$C$5)/(5*$F44*100000))^(1/4)</f>
        <v>9.1330046468921857</v>
      </c>
      <c r="M44" s="11">
        <f>((160*Input!$C$6*$J44)/(B44*$F44))^0.5</f>
        <v>12.004450558670415</v>
      </c>
      <c r="N44" s="11">
        <f>((384*Input!$C$4*$J44*Input!$C$5)/(($F44*100000)))^(1/4)</f>
        <v>13.657027367617976</v>
      </c>
      <c r="O44" s="11">
        <f>((240*Input!$C$6*$J44)/($B44*$F44))^0.5</f>
        <v>14.702389255605487</v>
      </c>
      <c r="P44" s="11">
        <f>((185*Input!$G$4*($J44/(2.54)^4)*(Input!$G$5))/($F44*0.00571))^(1/4)*25.4/1000</f>
        <v>11.378127532200384</v>
      </c>
      <c r="Q44" s="11">
        <f>(((16*Input!$G$6*($J44/(2.54)^4))/(($B44/25.4)*($F44*0.00571)))^0.5)*25.4/1000</f>
        <v>12.004698865820593</v>
      </c>
      <c r="R44" s="11">
        <f>((384*Input!$G$4*($J44/(2.54)^4)*(Input!$G$5))/($F44*0.00571))^(1/4)*25.4/1000</f>
        <v>13.657168611900381</v>
      </c>
      <c r="S44" s="11">
        <f>(((24*Input!$G$6*($J44/(2.54)^4))/(($B44/25.4)*($F44*0.00571)))^0.5)*25.4/1000</f>
        <v>14.702693368514197</v>
      </c>
      <c r="T44" s="11">
        <f>((Input!$G$4*($J44/(2.54)^4)*(Input!$G$5))/(17.1*$F44*0.06854))^(1/4)*0.3048</f>
        <v>9.7809960980644206</v>
      </c>
      <c r="U44" s="11">
        <f>(((20*Input!$G$6*($J44/(2.54)^4))/(($B44/25.4)*($F44*0.00571)))^0.5)*25.4/1000</f>
        <v>13.42166135669474</v>
      </c>
      <c r="V44" s="11">
        <f>((384*Input!$C$4*$J44*Input!$C$5)/(3*$F44*100000))^(1/4)</f>
        <v>10.377096753836566</v>
      </c>
      <c r="W44" s="11">
        <f>(((200*Input!$C$6*($J44))/($B44*($F44)))^0.5)</f>
        <v>13.421383740861188</v>
      </c>
      <c r="X44" s="11">
        <f t="shared" si="0"/>
        <v>9.1330046468921857</v>
      </c>
      <c r="Y44" s="26">
        <v>14</v>
      </c>
      <c r="Z44" s="26">
        <v>13</v>
      </c>
      <c r="AA44" s="26">
        <v>12</v>
      </c>
      <c r="AB44" s="26">
        <v>11</v>
      </c>
      <c r="AC44" s="26"/>
      <c r="AD44" s="32">
        <f t="shared" si="5"/>
        <v>1.204422906293289</v>
      </c>
    </row>
    <row r="45" spans="1:30" x14ac:dyDescent="0.2">
      <c r="A45" s="9">
        <v>14</v>
      </c>
      <c r="B45" s="6">
        <v>355.6</v>
      </c>
      <c r="C45" s="10" t="s">
        <v>5</v>
      </c>
      <c r="D45" s="7">
        <v>4.78</v>
      </c>
      <c r="E45" s="8">
        <v>120</v>
      </c>
      <c r="F45" s="8">
        <f t="shared" si="1"/>
        <v>757.45429060857077</v>
      </c>
      <c r="G45" s="8">
        <f>(3.14*(B45+E45)*E45*Input!C$2/1000000)*9.81</f>
        <v>351.60232896000002</v>
      </c>
      <c r="H45" s="8">
        <f>((3.14*(B45-2*D45)^2)/4*Input!C$3/1000000)*9.81</f>
        <v>922.12813044936013</v>
      </c>
      <c r="I45" s="8">
        <f>(Input!C$8/1067)*'Insul+Vapour'!B45</f>
        <v>5.4989690721649493</v>
      </c>
      <c r="J45" s="142">
        <f t="shared" si="2"/>
        <v>8109.3921922183499</v>
      </c>
      <c r="K45" s="11">
        <f>(Input!C$9*(Input!C$7+I45)*D45^2)/(0.644*F45*((B45/2)*D45)^0.5)</f>
        <v>11.35681856750295</v>
      </c>
      <c r="L45" s="11">
        <f>((384*Input!$C$4*$J45*Input!$C$5)/(5*$F45*100000))^(1/4)</f>
        <v>9.6530432760944471</v>
      </c>
      <c r="M45" s="11">
        <f>((160*Input!$C$6*$J45)/(B45*$F45))^0.5</f>
        <v>12.797776193554752</v>
      </c>
      <c r="N45" s="11">
        <f>((384*Input!$C$4*$J45*Input!$C$5)/(($F45*100000)))^(1/4)</f>
        <v>14.434666497983526</v>
      </c>
      <c r="O45" s="11">
        <f>((240*Input!$C$6*$J45)/($B45*$F45))^0.5</f>
        <v>15.674010758273553</v>
      </c>
      <c r="P45" s="11">
        <f>((185*Input!$G$4*($J45/(2.54)^4)*(Input!$G$5))/($F45*0.00571))^(1/4)*25.4/1000</f>
        <v>12.026004772331591</v>
      </c>
      <c r="Q45" s="11">
        <f>(((16*Input!$G$6*($J45/(2.54)^4))/(($B45/25.4)*($F45*0.00571)))^0.5)*25.4/1000</f>
        <v>12.79804091032123</v>
      </c>
      <c r="R45" s="11">
        <f>((384*Input!$G$4*($J45/(2.54)^4)*(Input!$G$5))/($F45*0.00571))^(1/4)*25.4/1000</f>
        <v>14.434815784798033</v>
      </c>
      <c r="S45" s="11">
        <f>(((24*Input!$G$6*($J45/(2.54)^4))/(($B45/25.4)*($F45*0.00571)))^0.5)*25.4/1000</f>
        <v>15.674334968775669</v>
      </c>
      <c r="T45" s="11">
        <f>((Input!$G$4*($J45/(2.54)^4)*(Input!$G$5))/(17.1*$F45*0.06854))^(1/4)*0.3048</f>
        <v>10.337931739699174</v>
      </c>
      <c r="U45" s="11">
        <f>(((20*Input!$G$6*($J45/(2.54)^4))/(($B45/25.4)*($F45*0.00571)))^0.5)*25.4/1000</f>
        <v>14.30864472715078</v>
      </c>
      <c r="V45" s="11">
        <f>((384*Input!$C$4*$J45*Input!$C$5)/(3*$F45*100000))^(1/4)</f>
        <v>10.967974715647387</v>
      </c>
      <c r="W45" s="11">
        <f>(((200*Input!$C$6*($J45))/($B45*($F45)))^0.5)</f>
        <v>14.308348764808464</v>
      </c>
      <c r="X45" s="11">
        <f t="shared" si="0"/>
        <v>9.6530432760944471</v>
      </c>
      <c r="Y45" s="26">
        <v>14.5</v>
      </c>
      <c r="Z45" s="26">
        <v>14</v>
      </c>
      <c r="AA45" s="26">
        <v>13</v>
      </c>
      <c r="AB45" s="26">
        <v>11.6</v>
      </c>
      <c r="AC45" s="26"/>
      <c r="AD45" s="32">
        <f t="shared" si="5"/>
        <v>1.20169356628983</v>
      </c>
    </row>
    <row r="46" spans="1:30" x14ac:dyDescent="0.2">
      <c r="A46" s="9">
        <v>16</v>
      </c>
      <c r="B46" s="6">
        <v>406.4</v>
      </c>
      <c r="C46" s="10" t="s">
        <v>5</v>
      </c>
      <c r="D46" s="7">
        <v>4.78</v>
      </c>
      <c r="E46" s="8">
        <v>120</v>
      </c>
      <c r="F46" s="8">
        <f t="shared" si="1"/>
        <v>853.77862221474209</v>
      </c>
      <c r="G46" s="8">
        <f>(3.14*(B46+E46)*E46*Input!C$2/1000000)*9.81</f>
        <v>389.15783424000006</v>
      </c>
      <c r="H46" s="8">
        <f>((3.14*(B46-2*D46)^2)/4*Input!C$3/1000000)*9.81</f>
        <v>1212.74514880776</v>
      </c>
      <c r="I46" s="8">
        <f>(Input!C$8/1067)*'Insul+Vapour'!B46</f>
        <v>6.2845360824742267</v>
      </c>
      <c r="J46" s="142">
        <f t="shared" si="2"/>
        <v>12166.402054575447</v>
      </c>
      <c r="K46" s="11">
        <f>(Input!C$9*(Input!C$7+I46)*D46^2)/(0.644*F46*((B46/2)*D46)^0.5)</f>
        <v>9.4949729845512039</v>
      </c>
      <c r="L46" s="11">
        <f>((384*Input!$C$4*$J46*Input!$C$5)/(5*$F46*100000))^(1/4)</f>
        <v>10.368370471090261</v>
      </c>
      <c r="M46" s="11">
        <f>((160*Input!$C$6*$J46)/(B46*$F46))^0.5</f>
        <v>13.8111882280174</v>
      </c>
      <c r="N46" s="11">
        <f>((384*Input!$C$4*$J46*Input!$C$5)/(($F46*100000)))^(1/4)</f>
        <v>15.504330147194917</v>
      </c>
      <c r="O46" s="11">
        <f>((240*Input!$C$6*$J46)/($B46*$F46))^0.5</f>
        <v>16.915181950088201</v>
      </c>
      <c r="P46" s="11">
        <f>((185*Input!$G$4*($J46/(2.54)^4)*(Input!$G$5))/($F46*0.00571))^(1/4)*25.4/1000</f>
        <v>12.917177433092597</v>
      </c>
      <c r="Q46" s="11">
        <f>(((16*Input!$G$6*($J46/(2.54)^4))/(($B46/25.4)*($F46*0.00571)))^0.5)*25.4/1000</f>
        <v>13.811473906797344</v>
      </c>
      <c r="R46" s="11">
        <f>((384*Input!$G$4*($J46/(2.54)^4)*(Input!$G$5))/($F46*0.00571))^(1/4)*25.4/1000</f>
        <v>15.504490496729765</v>
      </c>
      <c r="S46" s="11">
        <f>(((24*Input!$G$6*($J46/(2.54)^4))/(($B46/25.4)*($F46*0.00571)))^0.5)*25.4/1000</f>
        <v>16.915531833708794</v>
      </c>
      <c r="T46" s="11">
        <f>((Input!$G$4*($J46/(2.54)^4)*(Input!$G$5))/(17.1*$F46*0.06854))^(1/4)*0.3048</f>
        <v>11.104011772897696</v>
      </c>
      <c r="U46" s="11">
        <f>(((20*Input!$G$6*($J46/(2.54)^4))/(($B46/25.4)*($F46*0.00571)))^0.5)*25.4/1000</f>
        <v>15.441697262531727</v>
      </c>
      <c r="V46" s="11">
        <f>((384*Input!$C$4*$J46*Input!$C$5)/(3*$F46*100000))^(1/4)</f>
        <v>11.780743327962508</v>
      </c>
      <c r="W46" s="11">
        <f>(((200*Input!$C$6*($J46))/($B46*($F46)))^0.5)</f>
        <v>15.441377863945887</v>
      </c>
      <c r="X46" s="11">
        <f t="shared" si="0"/>
        <v>10.368370471090261</v>
      </c>
      <c r="Y46" s="26">
        <v>16.5</v>
      </c>
      <c r="Z46" s="26">
        <v>14.5</v>
      </c>
      <c r="AA46" s="26">
        <v>14</v>
      </c>
      <c r="AB46" s="26">
        <v>12.4</v>
      </c>
      <c r="AC46" s="26"/>
      <c r="AD46" s="32">
        <f t="shared" si="5"/>
        <v>1.1959449206193449</v>
      </c>
    </row>
    <row r="47" spans="1:30" x14ac:dyDescent="0.2">
      <c r="A47" s="9">
        <v>18</v>
      </c>
      <c r="B47" s="6">
        <v>457.2</v>
      </c>
      <c r="C47" s="10" t="s">
        <v>5</v>
      </c>
      <c r="D47" s="7">
        <v>4.78</v>
      </c>
      <c r="E47" s="8">
        <v>120</v>
      </c>
      <c r="F47" s="8">
        <f t="shared" si="1"/>
        <v>950.1029538209134</v>
      </c>
      <c r="G47" s="8">
        <f>(3.14*(B47+E47)*E47*Input!C$2/1000000)*9.81</f>
        <v>426.71333952000003</v>
      </c>
      <c r="H47" s="8">
        <f>((3.14*(B47-2*D47)^2)/4*Input!C$3/1000000)*9.81</f>
        <v>1543.1084102541602</v>
      </c>
      <c r="I47" s="8">
        <f>(Input!C$8/1067)*'Insul+Vapour'!B47</f>
        <v>7.0701030927835049</v>
      </c>
      <c r="J47" s="142">
        <f t="shared" si="2"/>
        <v>17391.158649707962</v>
      </c>
      <c r="K47" s="11">
        <f>(Input!C$9*(Input!C$7+I47)*D47^2)/(0.644*F47*((B47/2)*D47)^0.5)</f>
        <v>8.1038280937381817</v>
      </c>
      <c r="L47" s="11">
        <f>((384*Input!$C$4*$J47*Input!$C$5)/(5*$F47*100000))^(1/4)</f>
        <v>11.038136153688898</v>
      </c>
      <c r="M47" s="11">
        <f>((160*Input!$C$6*$J47)/(B47*$F47))^0.5</f>
        <v>14.757923789702392</v>
      </c>
      <c r="N47" s="11">
        <f>((384*Input!$C$4*$J47*Input!$C$5)/(($F47*100000)))^(1/4)</f>
        <v>16.505863444372586</v>
      </c>
      <c r="O47" s="11">
        <f>((240*Input!$C$6*$J47)/($B47*$F47))^0.5</f>
        <v>18.074691473825926</v>
      </c>
      <c r="P47" s="11">
        <f>((185*Input!$G$4*($J47/(2.54)^4)*(Input!$G$5))/($F47*0.00571))^(1/4)*25.4/1000</f>
        <v>13.751588412604333</v>
      </c>
      <c r="Q47" s="11">
        <f>(((16*Input!$G$6*($J47/(2.54)^4))/(($B47/25.4)*($F47*0.00571)))^0.5)*25.4/1000</f>
        <v>14.758229051320226</v>
      </c>
      <c r="R47" s="11">
        <f>((384*Input!$G$4*($J47/(2.54)^4)*(Input!$G$5))/($F47*0.00571))^(1/4)*25.4/1000</f>
        <v>16.506034152007196</v>
      </c>
      <c r="S47" s="11">
        <f>(((24*Input!$G$6*($J47/(2.54)^4))/(($B47/25.4)*($F47*0.00571)))^0.5)*25.4/1000</f>
        <v>18.075065341426804</v>
      </c>
      <c r="T47" s="11">
        <f>((Input!$G$4*($J47/(2.54)^4)*(Input!$G$5))/(17.1*$F47*0.06854))^(1/4)*0.3048</f>
        <v>11.821297680591165</v>
      </c>
      <c r="U47" s="11">
        <f>(((20*Input!$G$6*($J47/(2.54)^4))/(($B47/25.4)*($F47*0.00571)))^0.5)*25.4/1000</f>
        <v>16.50020169313213</v>
      </c>
      <c r="V47" s="11">
        <f>((384*Input!$C$4*$J47*Input!$C$5)/(3*$F47*100000))^(1/4)</f>
        <v>12.541744067526404</v>
      </c>
      <c r="W47" s="11">
        <f>(((200*Input!$C$6*($J47))/($B47*($F47)))^0.5)</f>
        <v>16.499860400267927</v>
      </c>
      <c r="X47" s="11">
        <f t="shared" si="0"/>
        <v>11.038136153688898</v>
      </c>
      <c r="Y47" s="26">
        <v>16.5</v>
      </c>
      <c r="Z47" s="26">
        <v>15.5</v>
      </c>
      <c r="AA47" s="26">
        <v>14.5</v>
      </c>
      <c r="AB47" s="26">
        <v>13</v>
      </c>
      <c r="AC47" s="26"/>
      <c r="AD47" s="32">
        <f t="shared" si="5"/>
        <v>1.1777350649598082</v>
      </c>
    </row>
    <row r="48" spans="1:30" x14ac:dyDescent="0.2">
      <c r="A48" s="9">
        <v>20</v>
      </c>
      <c r="B48" s="6">
        <v>508</v>
      </c>
      <c r="C48" s="10" t="s">
        <v>5</v>
      </c>
      <c r="D48" s="7">
        <v>5.54</v>
      </c>
      <c r="E48" s="8">
        <v>140</v>
      </c>
      <c r="F48" s="8">
        <f t="shared" si="1"/>
        <v>1232.5970757273903</v>
      </c>
      <c r="G48" s="8">
        <f>(3.14*(B48+E48)*E48*Input!C$2/1000000)*9.81</f>
        <v>558.89688960000001</v>
      </c>
      <c r="H48" s="8">
        <f>((3.14*(B48-2*D48)^2)/4*Input!C$3/1000000)*9.81</f>
        <v>1901.5669353434403</v>
      </c>
      <c r="I48" s="8">
        <f>(Input!C$8/1067)*'Insul+Vapour'!B48</f>
        <v>7.855670103092784</v>
      </c>
      <c r="J48" s="142">
        <f t="shared" si="2"/>
        <v>27611.741380886502</v>
      </c>
      <c r="K48" s="11">
        <f>(Input!C$9*(Input!C$7+I48)*D48^2)/(0.644*F48*((B48/2)*D48)^0.5)</f>
        <v>7.4483242130431693</v>
      </c>
      <c r="L48" s="11">
        <f>((384*Input!$C$4*$J48*Input!$C$5)/(5*$F48*100000))^(1/4)</f>
        <v>11.609792307966282</v>
      </c>
      <c r="M48" s="11">
        <f>((160*Input!$C$6*$J48)/(B48*$F48))^0.5</f>
        <v>15.488306190829702</v>
      </c>
      <c r="N48" s="11">
        <f>((384*Input!$C$4*$J48*Input!$C$5)/(($F48*100000)))^(1/4)</f>
        <v>17.360688777948884</v>
      </c>
      <c r="O48" s="11">
        <f>((240*Input!$C$6*$J48)/($B48*$F48))^0.5</f>
        <v>18.969223573761273</v>
      </c>
      <c r="P48" s="11">
        <f>((185*Input!$G$4*($J48/(2.54)^4)*(Input!$G$5))/($F48*0.00571))^(1/4)*25.4/1000</f>
        <v>14.46377206731742</v>
      </c>
      <c r="Q48" s="11">
        <f>(((16*Input!$G$6*($J48/(2.54)^4))/(($B48/25.4)*($F48*0.00571)))^0.5)*25.4/1000</f>
        <v>15.48862656010879</v>
      </c>
      <c r="R48" s="11">
        <f>((384*Input!$G$4*($J48/(2.54)^4)*(Input!$G$5))/($F48*0.00571))^(1/4)*25.4/1000</f>
        <v>17.36086832639398</v>
      </c>
      <c r="S48" s="11">
        <f>(((24*Input!$G$6*($J48/(2.54)^4))/(($B48/25.4)*($F48*0.00571)))^0.5)*25.4/1000</f>
        <v>18.969615944392789</v>
      </c>
      <c r="T48" s="11">
        <f>((Input!$G$4*($J48/(2.54)^4)*(Input!$G$5))/(17.1*$F48*0.06854))^(1/4)*0.3048</f>
        <v>12.433513137672341</v>
      </c>
      <c r="U48" s="11">
        <f>(((20*Input!$G$6*($J48/(2.54)^4))/(($B48/25.4)*($F48*0.00571)))^0.5)*25.4/1000</f>
        <v>17.316810933255994</v>
      </c>
      <c r="V48" s="11">
        <f>((384*Input!$C$4*$J48*Input!$C$5)/(3*$F48*100000))^(1/4)</f>
        <v>13.191270860976701</v>
      </c>
      <c r="W48" s="11">
        <f>(((200*Input!$C$6*($J48))/($B48*($F48)))^0.5)</f>
        <v>17.316452749513022</v>
      </c>
      <c r="X48" s="11">
        <f t="shared" si="0"/>
        <v>11.609792307966282</v>
      </c>
      <c r="Y48" s="26">
        <v>17.5</v>
      </c>
      <c r="Z48" s="26">
        <v>16.5</v>
      </c>
      <c r="AA48" s="26">
        <v>15.5</v>
      </c>
      <c r="AB48" s="26">
        <v>13.9</v>
      </c>
      <c r="AC48" s="26"/>
      <c r="AD48" s="32">
        <f t="shared" si="5"/>
        <v>1.197265173336671</v>
      </c>
    </row>
    <row r="49" spans="1:30" x14ac:dyDescent="0.2">
      <c r="A49" s="9">
        <v>24</v>
      </c>
      <c r="B49" s="6">
        <v>609.6</v>
      </c>
      <c r="C49" s="10" t="s">
        <v>5</v>
      </c>
      <c r="D49" s="7">
        <v>6.35</v>
      </c>
      <c r="E49" s="8">
        <v>140</v>
      </c>
      <c r="F49" s="8">
        <f t="shared" si="1"/>
        <v>1573.6261529990502</v>
      </c>
      <c r="G49" s="8">
        <f>(3.14*(B49+E49)*E49*Input!C$2/1000000)*9.81</f>
        <v>646.52640192000013</v>
      </c>
      <c r="H49" s="8">
        <f>((3.14*(B49-2*D49)^2)/4*Input!C$3/1000000)*9.81</f>
        <v>2743.7328431685005</v>
      </c>
      <c r="I49" s="8">
        <f>(Input!C$8/1067)*'Insul+Vapour'!B49</f>
        <v>9.4268041237113405</v>
      </c>
      <c r="J49" s="142">
        <f t="shared" si="2"/>
        <v>54769.729135176691</v>
      </c>
      <c r="K49" s="11">
        <f>(Input!C$9*(Input!C$7+I49)*D49^2)/(0.644*F49*((B49/2)*D49)^0.5)</f>
        <v>6.6307734941691514</v>
      </c>
      <c r="L49" s="11">
        <f>((384*Input!$C$4*$J49*Input!$C$5)/(5*$F49*100000))^(1/4)</f>
        <v>12.961821656713575</v>
      </c>
      <c r="M49" s="11">
        <f>((160*Input!$C$6*$J49)/(B49*$F49))^0.5</f>
        <v>17.623675386164901</v>
      </c>
      <c r="N49" s="11">
        <f>((384*Input!$C$4*$J49*Input!$C$5)/(($F49*100000)))^(1/4)</f>
        <v>19.382444216773468</v>
      </c>
      <c r="O49" s="11">
        <f>((240*Input!$C$6*$J49)/($B49*$F49))^0.5</f>
        <v>21.584506044275646</v>
      </c>
      <c r="P49" s="11">
        <f>((185*Input!$G$4*($J49/(2.54)^4)*(Input!$G$5))/($F49*0.00571))^(1/4)*25.4/1000</f>
        <v>16.148164329458581</v>
      </c>
      <c r="Q49" s="11">
        <f>(((16*Input!$G$6*($J49/(2.54)^4))/(($B49/25.4)*($F49*0.00571)))^0.5)*25.4/1000</f>
        <v>17.624039924682464</v>
      </c>
      <c r="R49" s="11">
        <f>((384*Input!$G$4*($J49/(2.54)^4)*(Input!$G$5))/($F49*0.00571))^(1/4)*25.4/1000</f>
        <v>19.382644674702629</v>
      </c>
      <c r="S49" s="11">
        <f>(((24*Input!$G$6*($J49/(2.54)^4))/(($B49/25.4)*($F49*0.00571)))^0.5)*25.4/1000</f>
        <v>21.584952510955453</v>
      </c>
      <c r="T49" s="11">
        <f>((Input!$G$4*($J49/(2.54)^4)*(Input!$G$5))/(17.1*$F49*0.06854))^(1/4)*0.3048</f>
        <v>13.881469675071653</v>
      </c>
      <c r="U49" s="11">
        <f>(((20*Input!$G$6*($J49/(2.54)^4))/(($B49/25.4)*($F49*0.00571)))^0.5)*25.4/1000</f>
        <v>19.704275654880135</v>
      </c>
      <c r="V49" s="11">
        <f>((384*Input!$C$4*$J49*Input!$C$5)/(3*$F49*100000))^(1/4)</f>
        <v>14.72747279105581</v>
      </c>
      <c r="W49" s="11">
        <f>(((200*Input!$C$6*($J49))/($B49*($F49)))^0.5)</f>
        <v>19.703868088427289</v>
      </c>
      <c r="X49" s="11">
        <f t="shared" si="0"/>
        <v>12.961821656713575</v>
      </c>
      <c r="Y49" s="26">
        <v>19</v>
      </c>
      <c r="Z49" s="26">
        <v>18</v>
      </c>
      <c r="AA49" s="26">
        <v>17</v>
      </c>
      <c r="AB49" s="26">
        <v>15.5</v>
      </c>
      <c r="AC49" s="26"/>
      <c r="AD49" s="32">
        <f t="shared" si="5"/>
        <v>1.1958195700040184</v>
      </c>
    </row>
  </sheetData>
  <sheetProtection algorithmName="SHA-512" hashValue="LmIz43n9aEMEq+pduzRtA2Ydyemsz7OluVC/Fv/7nkmFX4qyilYptkfxwIr8XvH+Yyuub7YNQtr+k8fbDb4RKg==" saltValue="JDPO/qsaekaRxc4u3dc/AA==" spinCount="100000" sheet="1" objects="1" scenarios="1" autoFilter="0"/>
  <autoFilter ref="A2:AD49" xr:uid="{00000000-0009-0000-0000-000002000000}">
    <filterColumn colId="27" showButton="0"/>
  </autoFilter>
  <mergeCells count="7">
    <mergeCell ref="Y1:AA1"/>
    <mergeCell ref="V1:W1"/>
    <mergeCell ref="L1:M1"/>
    <mergeCell ref="N1:O1"/>
    <mergeCell ref="P1:Q1"/>
    <mergeCell ref="R1:S1"/>
    <mergeCell ref="T1:U1"/>
  </mergeCells>
  <conditionalFormatting sqref="L3:W49">
    <cfRule type="expression" dxfId="10" priority="3">
      <formula>L3=MAX($L3:$W3)</formula>
    </cfRule>
  </conditionalFormatting>
  <conditionalFormatting sqref="L3:W49">
    <cfRule type="expression" dxfId="9" priority="4">
      <formula>L3=MIN($L3:$W3)</formula>
    </cfRule>
  </conditionalFormatting>
  <conditionalFormatting sqref="Y3:AC49">
    <cfRule type="expression" dxfId="8" priority="19">
      <formula>Y3=MIN($Y3:$AC3)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49"/>
  <sheetViews>
    <sheetView zoomScale="85" zoomScaleNormal="85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I1" sqref="I1"/>
    </sheetView>
  </sheetViews>
  <sheetFormatPr defaultRowHeight="12.75" x14ac:dyDescent="0.2"/>
  <cols>
    <col min="1" max="1" width="9.7109375" style="2" bestFit="1" customWidth="1"/>
    <col min="2" max="2" width="8.42578125" style="4" bestFit="1" customWidth="1"/>
    <col min="3" max="3" width="6.85546875" style="2" bestFit="1" customWidth="1"/>
    <col min="4" max="4" width="9" style="2" bestFit="1" customWidth="1"/>
    <col min="5" max="5" width="9" style="3" bestFit="1" customWidth="1"/>
    <col min="6" max="6" width="10.28515625" style="3" customWidth="1"/>
    <col min="7" max="7" width="11.5703125" style="3" bestFit="1" customWidth="1"/>
    <col min="8" max="8" width="9.42578125" style="3" bestFit="1" customWidth="1"/>
    <col min="9" max="9" width="13.85546875" style="3" bestFit="1" customWidth="1"/>
    <col min="10" max="10" width="11.5703125" style="143" bestFit="1" customWidth="1"/>
    <col min="11" max="11" width="11.7109375" style="14" customWidth="1"/>
    <col min="12" max="12" width="12.140625" style="2" customWidth="1"/>
    <col min="13" max="13" width="12.28515625" style="2" customWidth="1"/>
    <col min="14" max="14" width="14.7109375" style="2" bestFit="1" customWidth="1"/>
    <col min="15" max="15" width="11" style="2" bestFit="1" customWidth="1"/>
    <col min="16" max="16" width="12.42578125" style="2" customWidth="1"/>
    <col min="17" max="17" width="11" style="2" customWidth="1"/>
    <col min="18" max="19" width="11.28515625" style="2" customWidth="1"/>
    <col min="20" max="20" width="12.28515625" style="2" customWidth="1"/>
    <col min="21" max="21" width="12.140625" style="2" customWidth="1"/>
    <col min="22" max="22" width="11.7109375" style="2" customWidth="1"/>
    <col min="23" max="23" width="11.28515625" style="2" customWidth="1"/>
    <col min="24" max="24" width="8.7109375" style="2" customWidth="1"/>
    <col min="25" max="25" width="10.42578125" style="2" customWidth="1"/>
    <col min="26" max="26" width="9.28515625" style="2" customWidth="1"/>
    <col min="27" max="27" width="8.28515625" style="2" customWidth="1"/>
    <col min="28" max="30" width="8.85546875" style="2"/>
  </cols>
  <sheetData>
    <row r="1" spans="1:30" s="20" customFormat="1" ht="33.6" customHeight="1" x14ac:dyDescent="0.2">
      <c r="A1" s="15" t="s">
        <v>11</v>
      </c>
      <c r="B1" s="15" t="s">
        <v>0</v>
      </c>
      <c r="C1" s="15" t="s">
        <v>12</v>
      </c>
      <c r="D1" s="15" t="s">
        <v>13</v>
      </c>
      <c r="E1" s="16" t="s">
        <v>15</v>
      </c>
      <c r="F1" s="17" t="s">
        <v>64</v>
      </c>
      <c r="G1" s="16" t="s">
        <v>21</v>
      </c>
      <c r="H1" s="16" t="s">
        <v>22</v>
      </c>
      <c r="I1" s="16" t="s">
        <v>30</v>
      </c>
      <c r="J1" s="16" t="s">
        <v>23</v>
      </c>
      <c r="K1" s="19" t="s">
        <v>28</v>
      </c>
      <c r="L1" s="146" t="s">
        <v>39</v>
      </c>
      <c r="M1" s="146"/>
      <c r="N1" s="147" t="s">
        <v>42</v>
      </c>
      <c r="O1" s="147"/>
      <c r="P1" s="151" t="s">
        <v>51</v>
      </c>
      <c r="Q1" s="151"/>
      <c r="R1" s="148" t="s">
        <v>36</v>
      </c>
      <c r="S1" s="148"/>
      <c r="T1" s="149" t="s">
        <v>47</v>
      </c>
      <c r="U1" s="149"/>
      <c r="V1" s="150" t="s">
        <v>46</v>
      </c>
      <c r="W1" s="150"/>
      <c r="X1" s="29" t="s">
        <v>50</v>
      </c>
      <c r="Y1" s="15" t="s">
        <v>33</v>
      </c>
      <c r="Z1" s="15" t="s">
        <v>35</v>
      </c>
      <c r="AA1" s="15" t="s">
        <v>35</v>
      </c>
      <c r="AB1" s="15" t="s">
        <v>59</v>
      </c>
      <c r="AC1" s="15" t="s">
        <v>61</v>
      </c>
      <c r="AD1" s="15" t="s">
        <v>61</v>
      </c>
    </row>
    <row r="2" spans="1:30" s="20" customFormat="1" ht="28.5" customHeight="1" x14ac:dyDescent="0.2">
      <c r="A2" s="15"/>
      <c r="B2" s="15"/>
      <c r="C2" s="15"/>
      <c r="D2" s="15" t="s">
        <v>3</v>
      </c>
      <c r="E2" s="16" t="s">
        <v>3</v>
      </c>
      <c r="F2" s="16" t="s">
        <v>25</v>
      </c>
      <c r="G2" s="16" t="s">
        <v>25</v>
      </c>
      <c r="H2" s="16" t="s">
        <v>25</v>
      </c>
      <c r="I2" s="16" t="s">
        <v>3</v>
      </c>
      <c r="J2" s="16" t="s">
        <v>26</v>
      </c>
      <c r="K2" s="19" t="s">
        <v>27</v>
      </c>
      <c r="L2" s="15" t="s">
        <v>41</v>
      </c>
      <c r="M2" s="15" t="s">
        <v>40</v>
      </c>
      <c r="N2" s="15" t="s">
        <v>41</v>
      </c>
      <c r="O2" s="15" t="s">
        <v>40</v>
      </c>
      <c r="P2" s="15" t="s">
        <v>41</v>
      </c>
      <c r="Q2" s="15" t="s">
        <v>40</v>
      </c>
      <c r="R2" s="15" t="s">
        <v>41</v>
      </c>
      <c r="S2" s="15" t="s">
        <v>40</v>
      </c>
      <c r="T2" s="15" t="s">
        <v>41</v>
      </c>
      <c r="U2" s="15" t="s">
        <v>40</v>
      </c>
      <c r="V2" s="15" t="s">
        <v>41</v>
      </c>
      <c r="W2" s="15" t="s">
        <v>40</v>
      </c>
      <c r="X2" s="15" t="s">
        <v>49</v>
      </c>
      <c r="Y2" s="15" t="s">
        <v>34</v>
      </c>
      <c r="Z2" s="15" t="s">
        <v>34</v>
      </c>
      <c r="AA2" s="15" t="s">
        <v>48</v>
      </c>
      <c r="AB2" s="15" t="s">
        <v>60</v>
      </c>
      <c r="AC2" s="15" t="s">
        <v>60</v>
      </c>
      <c r="AD2" s="15" t="s">
        <v>62</v>
      </c>
    </row>
    <row r="3" spans="1:30" x14ac:dyDescent="0.2">
      <c r="A3" s="5">
        <v>0.75</v>
      </c>
      <c r="B3" s="6">
        <v>26.67</v>
      </c>
      <c r="C3" s="5" t="s">
        <v>7</v>
      </c>
      <c r="D3" s="7">
        <v>2.87</v>
      </c>
      <c r="E3" s="8">
        <v>40</v>
      </c>
      <c r="F3" s="8">
        <f>(((3.1428*(B3^2-(B3-2*D3)^2)/4)*7.85/1000)*9.81)+H3</f>
        <v>19.905048251587811</v>
      </c>
      <c r="G3" s="8">
        <f>(3.14*(B3+E3)*E3*Input!C$2/1000000)*9.81</f>
        <v>16.429301424000002</v>
      </c>
      <c r="H3" s="8">
        <f>((3.14*(B3-2*D3)^2)/4*Input!C$3/1000000)*9.81</f>
        <v>3.3734720851650004</v>
      </c>
      <c r="I3" s="8">
        <f>(Input!C$8/1067)*'Bare+Water'!B3</f>
        <v>0.41242268041237118</v>
      </c>
      <c r="J3" s="142">
        <f>((3.1428*(B3^4-(B3-(2*D3))^4)/64))/10000</f>
        <v>1.5420886888190499</v>
      </c>
      <c r="K3" s="11">
        <f>(Input!C$9*(Input!C$7+I3)*D3^2)/(0.644*F3*((B3/2)*D3)^0.5)</f>
        <v>698.77841495067582</v>
      </c>
      <c r="L3" s="11">
        <f>((384*Input!$C$4*$J3*Input!$C$5)/(5*$F3*100000))^(1/4)</f>
        <v>2.8154175520858247</v>
      </c>
      <c r="M3" s="11">
        <f>((160*Input!$C$6*$J3)/(B3*$F3))^0.5</f>
        <v>3.9752184597486306</v>
      </c>
      <c r="N3" s="11">
        <f>((384*Input!$C$4*$J3*Input!$C$5)/(($F3*100000)))^(1/4)</f>
        <v>4.2100312051403703</v>
      </c>
      <c r="O3" s="11">
        <f>((240*Input!$C$6*$J3)/($B3*$F3))^0.5</f>
        <v>4.8686284212383075</v>
      </c>
      <c r="P3" s="11">
        <f>((185*Input!$G$4*($J3/(2.54)^4)*(Input!$G$5))/($F3*0.00571))^(1/4)*25.4/1000</f>
        <v>3.507518193908798</v>
      </c>
      <c r="Q3" s="11">
        <f>(((16*Input!$G$6*($J3/(2.54)^4))/(($B3/25.4)*($F3*0.00571)))^0.5)*25.4/1000</f>
        <v>3.9753006855166699</v>
      </c>
      <c r="R3" s="11">
        <f>((384*Input!$G$4*($J3/(2.54)^4)*(Input!$G$5))/($F3*0.00571))^(1/4)*25.4/1000</f>
        <v>4.2100747463020358</v>
      </c>
      <c r="S3" s="11">
        <f>(((24*Input!$G$6*($J3/(2.54)^4))/(($B3/25.4)*($F3*0.00571)))^0.5)*25.4/1000</f>
        <v>4.8687291268260093</v>
      </c>
      <c r="T3" s="11">
        <f>((Input!$G$4*($J3/(2.54)^4)*(Input!$G$5))/(17.1*$F3*0.06854))^(1/4)*0.3048</f>
        <v>3.0151728983017798</v>
      </c>
      <c r="U3" s="11">
        <f>(((20*Input!$G$6*($J3/(2.54)^4))/(($B3/25.4)*($F3*0.00571)))^0.5)*25.4/1000</f>
        <v>4.4445212819083935</v>
      </c>
      <c r="V3" s="11">
        <f>((384*Input!$C$4*$J3*Input!$C$5)/(3*$F3*100000))^(1/4)</f>
        <v>3.1989319473724334</v>
      </c>
      <c r="W3" s="11">
        <f>(((200*Input!$C$6*($J3))/($B3*($F3)))^0.5)</f>
        <v>4.4444293507049748</v>
      </c>
      <c r="X3" s="11">
        <f>MIN(L3:W3)</f>
        <v>2.8154175520858247</v>
      </c>
      <c r="Y3" s="26">
        <v>4</v>
      </c>
      <c r="Z3" s="27" t="s">
        <v>6</v>
      </c>
      <c r="AA3" s="27" t="s">
        <v>6</v>
      </c>
      <c r="AB3" s="26"/>
      <c r="AC3" s="32">
        <f>Y3/X3</f>
        <v>1.4207484062307447</v>
      </c>
      <c r="AD3" s="32">
        <f>Y3/MIN(N3:O3)</f>
        <v>0.95011172247751363</v>
      </c>
    </row>
    <row r="4" spans="1:30" x14ac:dyDescent="0.2">
      <c r="A4" s="5">
        <v>1</v>
      </c>
      <c r="B4" s="6">
        <v>33.4</v>
      </c>
      <c r="C4" s="5" t="s">
        <v>7</v>
      </c>
      <c r="D4" s="7">
        <v>3.38</v>
      </c>
      <c r="E4" s="8">
        <v>40</v>
      </c>
      <c r="F4" s="8">
        <f t="shared" ref="F4:F49" si="0">(((3.1428*(B4^2-(B4-2*D4)^2)/4)*7.85/1000)*9.81)+H4</f>
        <v>30.022636483892871</v>
      </c>
      <c r="G4" s="8">
        <f>(3.14*(B4+E4)*E4*Input!C$2/1000000)*9.81</f>
        <v>18.087756480000003</v>
      </c>
      <c r="H4" s="8">
        <f>((3.14*(B4-2*D4)^2)/4*Input!C$3/1000000)*9.81</f>
        <v>5.4652131561600008</v>
      </c>
      <c r="I4" s="8">
        <f>(Input!C$8/1067)*'Bare+Water'!B4</f>
        <v>0.51649484536082479</v>
      </c>
      <c r="J4" s="142">
        <f t="shared" ref="J4:J49" si="1">((3.1428*(B4^4-(B4-(2*D4))^4)/64))/10000</f>
        <v>3.6378636048273156</v>
      </c>
      <c r="K4" s="11">
        <f>(Input!C$9*(Input!C$7+I4)*D4^2)/(0.644*F4*((B4/2)*D4)^0.5)</f>
        <v>529.65644111680183</v>
      </c>
      <c r="L4" s="11">
        <f>((384*Input!$C$4*$J4*Input!$C$5)/(5*$F4*100000))^(1/4)</f>
        <v>3.1485143758013163</v>
      </c>
      <c r="M4" s="11">
        <f>((160*Input!$C$6*$J4)/(B4*$F4))^0.5</f>
        <v>4.4424751637622633</v>
      </c>
      <c r="N4" s="11">
        <f>((384*Input!$C$4*$J4*Input!$C$5)/(($F4*100000)))^(1/4)</f>
        <v>4.7081271345119893</v>
      </c>
      <c r="O4" s="11">
        <f>((240*Input!$C$6*$J4)/($B4*$F4))^0.5</f>
        <v>5.4408986731023417</v>
      </c>
      <c r="P4" s="11">
        <f>((185*Input!$G$4*($J4/(2.54)^4)*(Input!$G$5))/($F4*0.00571))^(1/4)*25.4/1000</f>
        <v>3.9224986179136603</v>
      </c>
      <c r="Q4" s="11">
        <f>(((16*Input!$G$6*($J4/(2.54)^4))/(($B4/25.4)*($F4*0.00571)))^0.5)*25.4/1000</f>
        <v>4.4425670545441243</v>
      </c>
      <c r="R4" s="11">
        <f>((384*Input!$G$4*($J4/(2.54)^4)*(Input!$G$5))/($F4*0.00571))^(1/4)*25.4/1000</f>
        <v>4.7081758271023073</v>
      </c>
      <c r="S4" s="11">
        <f>(((24*Input!$G$6*($J4/(2.54)^4))/(($B4/25.4)*($F4*0.00571)))^0.5)*25.4/1000</f>
        <v>5.4410112158661539</v>
      </c>
      <c r="T4" s="11">
        <f>((Input!$G$4*($J4/(2.54)^4)*(Input!$G$5))/(17.1*$F4*0.06854))^(1/4)*0.3048</f>
        <v>3.3719031156840207</v>
      </c>
      <c r="U4" s="11">
        <f>(((20*Input!$G$6*($J4/(2.54)^4))/(($B4/25.4)*($F4*0.00571)))^0.5)*25.4/1000</f>
        <v>4.9669409642808384</v>
      </c>
      <c r="V4" s="11">
        <f>((384*Input!$C$4*$J4*Input!$C$5)/(3*$F4*100000))^(1/4)</f>
        <v>3.5774030093867855</v>
      </c>
      <c r="W4" s="11">
        <f>(((200*Input!$C$6*($J4))/($B4*($F4)))^0.5)</f>
        <v>4.966838227263465</v>
      </c>
      <c r="X4" s="11">
        <f t="shared" ref="X4:X49" si="2">MIN(L4:W4)</f>
        <v>3.1485143758013163</v>
      </c>
      <c r="Y4" s="26">
        <v>4.5</v>
      </c>
      <c r="Z4" s="26">
        <v>3.65</v>
      </c>
      <c r="AA4" s="26">
        <v>5.7</v>
      </c>
      <c r="AB4" s="32">
        <f>Z4/MIN(L4:W4)</f>
        <v>1.1592769047055891</v>
      </c>
      <c r="AC4" s="32">
        <f t="shared" ref="AC4:AC49" si="3">Y4/X4</f>
        <v>1.4292454989520962</v>
      </c>
      <c r="AD4" s="32">
        <f t="shared" ref="AD4:AD49" si="4">Y4/MIN(N4:O4)</f>
        <v>0.95579407085540347</v>
      </c>
    </row>
    <row r="5" spans="1:30" x14ac:dyDescent="0.2">
      <c r="A5" s="5">
        <v>1.5</v>
      </c>
      <c r="B5" s="6">
        <v>48.26</v>
      </c>
      <c r="C5" s="5" t="s">
        <v>7</v>
      </c>
      <c r="D5" s="7">
        <v>3.68</v>
      </c>
      <c r="E5" s="8">
        <v>50</v>
      </c>
      <c r="F5" s="8">
        <f t="shared" si="0"/>
        <v>52.586884365570725</v>
      </c>
      <c r="G5" s="8">
        <f>(3.14*(B5+E5)*E5*Input!C$2/1000000)*9.81</f>
        <v>30.267420839999996</v>
      </c>
      <c r="H5" s="8">
        <f>((3.14*(B5-2*D5)^2)/4*Input!C$3/1000000)*9.81</f>
        <v>12.882058888500001</v>
      </c>
      <c r="I5" s="8">
        <f>(Input!C$8/1067)*'Bare+Water'!B5</f>
        <v>0.74628865979381442</v>
      </c>
      <c r="J5" s="142">
        <f t="shared" si="1"/>
        <v>12.895675761083153</v>
      </c>
      <c r="K5" s="11">
        <f>(Input!C$9*(Input!C$7+I5)*D5^2)/(0.644*F5*((B5/2)*D5)^0.5)</f>
        <v>286.43996895505904</v>
      </c>
      <c r="L5" s="11">
        <f>((384*Input!$C$4*$J5*Input!$C$5)/(5*$F5*100000))^(1/4)</f>
        <v>3.7553286505077934</v>
      </c>
      <c r="M5" s="11">
        <f>((160*Input!$C$6*$J5)/(B5*$F5))^0.5</f>
        <v>5.2576191450445089</v>
      </c>
      <c r="N5" s="11">
        <f>((384*Input!$C$4*$J5*Input!$C$5)/(($F5*100000)))^(1/4)</f>
        <v>5.6155261206219595</v>
      </c>
      <c r="O5" s="11">
        <f>((240*Input!$C$6*$J5)/($B5*$F5))^0.5</f>
        <v>6.439242083623494</v>
      </c>
      <c r="P5" s="11">
        <f>((185*Input!$G$4*($J5/(2.54)^4)*(Input!$G$5))/($F5*0.00571))^(1/4)*25.4/1000</f>
        <v>4.6784831457786984</v>
      </c>
      <c r="Q5" s="11">
        <f>(((16*Input!$G$6*($J5/(2.54)^4))/(($B5/25.4)*($F5*0.00571)))^0.5)*25.4/1000</f>
        <v>5.2577278967462417</v>
      </c>
      <c r="R5" s="11">
        <f>((384*Input!$G$4*($J5/(2.54)^4)*(Input!$G$5))/($F5*0.00571))^(1/4)*25.4/1000</f>
        <v>5.6155841977522076</v>
      </c>
      <c r="S5" s="11">
        <f>(((24*Input!$G$6*($J5/(2.54)^4))/(($B5/25.4)*($F5*0.00571)))^0.5)*25.4/1000</f>
        <v>6.4393752767124459</v>
      </c>
      <c r="T5" s="11">
        <f>((Input!$G$4*($J5/(2.54)^4)*(Input!$G$5))/(17.1*$F5*0.06854))^(1/4)*0.3048</f>
        <v>4.0217711802068532</v>
      </c>
      <c r="U5" s="11">
        <f>(((20*Input!$G$6*($J5/(2.54)^4))/(($B5/25.4)*($F5*0.00571)))^0.5)*25.4/1000</f>
        <v>5.8783184921607976</v>
      </c>
      <c r="V5" s="11">
        <f>((384*Input!$C$4*$J5*Input!$C$5)/(3*$F5*100000))^(1/4)</f>
        <v>4.2668771401572139</v>
      </c>
      <c r="W5" s="11">
        <f>(((200*Input!$C$6*($J5))/($B5*($F5)))^0.5)</f>
        <v>5.8781969040619249</v>
      </c>
      <c r="X5" s="11">
        <f t="shared" si="2"/>
        <v>3.7553286505077934</v>
      </c>
      <c r="Y5" s="26">
        <v>5</v>
      </c>
      <c r="Z5" s="26">
        <v>4.3499999999999996</v>
      </c>
      <c r="AA5" s="26">
        <v>6.9</v>
      </c>
      <c r="AB5" s="32">
        <f>Z5/MIN(L5:W5)</f>
        <v>1.1583540096848235</v>
      </c>
      <c r="AC5" s="32">
        <f t="shared" si="3"/>
        <v>1.3314413904423259</v>
      </c>
      <c r="AD5" s="32">
        <f t="shared" si="4"/>
        <v>0.89038852150263248</v>
      </c>
    </row>
    <row r="6" spans="1:30" x14ac:dyDescent="0.2">
      <c r="A6" s="5">
        <v>2</v>
      </c>
      <c r="B6" s="6">
        <v>60.32</v>
      </c>
      <c r="C6" s="5" t="s">
        <v>7</v>
      </c>
      <c r="D6" s="7">
        <v>3.91</v>
      </c>
      <c r="E6" s="8">
        <v>50</v>
      </c>
      <c r="F6" s="8">
        <f t="shared" si="0"/>
        <v>74.606659613400751</v>
      </c>
      <c r="G6" s="8">
        <f>(3.14*(B6+E6)*E6*Input!C$2/1000000)*9.81</f>
        <v>33.98231088</v>
      </c>
      <c r="H6" s="8">
        <f>((3.14*(B6-2*D6)^2)/4*Input!C$3/1000000)*9.81</f>
        <v>21.2254678125</v>
      </c>
      <c r="I6" s="8">
        <f>(Input!C$8/1067)*'Bare+Water'!B6</f>
        <v>0.93278350515463926</v>
      </c>
      <c r="J6" s="142">
        <f t="shared" si="1"/>
        <v>27.70469366885397</v>
      </c>
      <c r="K6" s="11">
        <f>(Input!C$9*(Input!C$7+I6)*D6^2)/(0.644*F6*((B6/2)*D6)^0.5)</f>
        <v>198.14953500535836</v>
      </c>
      <c r="L6" s="11">
        <f>((384*Input!$C$4*$J6*Input!$C$5)/(5*$F6*100000))^(1/4)</f>
        <v>4.1658173439243047</v>
      </c>
      <c r="M6" s="11">
        <f>((160*Input!$C$6*$J6)/(B6*$F6))^0.5</f>
        <v>5.7870423672228961</v>
      </c>
      <c r="N6" s="11">
        <f>((384*Input!$C$4*$J6*Input!$C$5)/(($F6*100000)))^(1/4)</f>
        <v>6.2293498880274312</v>
      </c>
      <c r="O6" s="11">
        <f>((240*Input!$C$6*$J6)/($B6*$F6))^0.5</f>
        <v>7.0876504597820826</v>
      </c>
      <c r="P6" s="11">
        <f>((185*Input!$G$4*($J6/(2.54)^4)*(Input!$G$5))/($F6*0.00571))^(1/4)*25.4/1000</f>
        <v>5.1898803129539823</v>
      </c>
      <c r="Q6" s="11">
        <f>(((16*Input!$G$6*($J6/(2.54)^4))/(($B6/25.4)*($F6*0.00571)))^0.5)*25.4/1000</f>
        <v>5.7871620698274535</v>
      </c>
      <c r="R6" s="11">
        <f>((384*Input!$G$4*($J6/(2.54)^4)*(Input!$G$5))/($F6*0.00571))^(1/4)*25.4/1000</f>
        <v>6.2294143134716427</v>
      </c>
      <c r="S6" s="11">
        <f>(((24*Input!$G$6*($J6/(2.54)^4))/(($B6/25.4)*($F6*0.00571)))^0.5)*25.4/1000</f>
        <v>7.0877970649331079</v>
      </c>
      <c r="T6" s="11">
        <f>((Input!$G$4*($J6/(2.54)^4)*(Input!$G$5))/(17.1*$F6*0.06854))^(1/4)*0.3048</f>
        <v>4.4613842608782495</v>
      </c>
      <c r="U6" s="11">
        <f>(((20*Input!$G$6*($J6/(2.54)^4))/(($B6/25.4)*($F6*0.00571)))^0.5)*25.4/1000</f>
        <v>6.4702438924712862</v>
      </c>
      <c r="V6" s="11">
        <f>((384*Input!$C$4*$J6*Input!$C$5)/(3*$F6*100000))^(1/4)</f>
        <v>4.733282343332994</v>
      </c>
      <c r="W6" s="11">
        <f>(((200*Input!$C$6*($J6))/($B6*($F6)))^0.5)</f>
        <v>6.4701100608908479</v>
      </c>
      <c r="X6" s="11">
        <f t="shared" si="2"/>
        <v>4.1658173439243047</v>
      </c>
      <c r="Y6" s="26">
        <v>5.5</v>
      </c>
      <c r="Z6" s="26">
        <v>4.8499999999999996</v>
      </c>
      <c r="AA6" s="26">
        <v>7.9</v>
      </c>
      <c r="AB6" s="32">
        <f>Z6/MIN(L6:W6)</f>
        <v>1.1642373151750283</v>
      </c>
      <c r="AC6" s="32">
        <f t="shared" si="3"/>
        <v>1.3202691203015784</v>
      </c>
      <c r="AD6" s="32">
        <f t="shared" si="4"/>
        <v>0.88291717416143001</v>
      </c>
    </row>
    <row r="7" spans="1:30" x14ac:dyDescent="0.2">
      <c r="A7" s="5">
        <v>2.5</v>
      </c>
      <c r="B7" s="6">
        <v>73.02</v>
      </c>
      <c r="C7" s="5" t="s">
        <v>7</v>
      </c>
      <c r="D7" s="7">
        <v>5.16</v>
      </c>
      <c r="E7" s="8">
        <v>50</v>
      </c>
      <c r="F7" s="8">
        <f t="shared" si="0"/>
        <v>115.02022714315484</v>
      </c>
      <c r="G7" s="8">
        <f>(3.14*(B7+E7)*E7*Input!C$2/1000000)*9.81</f>
        <v>37.894342680000001</v>
      </c>
      <c r="H7" s="8">
        <f>((3.14*(B7-2*D7)^2)/4*Input!C$3/1000000)*9.81</f>
        <v>30.2742745965</v>
      </c>
      <c r="I7" s="8">
        <f>(Input!C$8/1067)*'Bare+Water'!B7</f>
        <v>1.1291752577319587</v>
      </c>
      <c r="J7" s="142">
        <f t="shared" si="1"/>
        <v>63.712089330080417</v>
      </c>
      <c r="K7" s="11">
        <f>(Input!C$9*(Input!C$7+I7)*D7^2)/(0.644*F7*((B7/2)*D7)^0.5)</f>
        <v>177.44338586922896</v>
      </c>
      <c r="L7" s="11">
        <f>((384*Input!$C$4*$J7*Input!$C$5)/(5*$F7*100000))^(1/4)</f>
        <v>4.6038184723106372</v>
      </c>
      <c r="M7" s="11">
        <f>((160*Input!$C$6*$J7)/(B7*$F7))^0.5</f>
        <v>6.4239529097093948</v>
      </c>
      <c r="N7" s="11">
        <f>((384*Input!$C$4*$J7*Input!$C$5)/(($F7*100000)))^(1/4)</f>
        <v>6.8843143415334529</v>
      </c>
      <c r="O7" s="11">
        <f>((240*Input!$C$6*$J7)/($B7*$F7))^0.5</f>
        <v>7.867703380227657</v>
      </c>
      <c r="P7" s="11">
        <f>((185*Input!$G$4*($J7/(2.54)^4)*(Input!$G$5))/($F7*0.00571))^(1/4)*25.4/1000</f>
        <v>5.7355531655045642</v>
      </c>
      <c r="Q7" s="11">
        <f>(((16*Input!$G$6*($J7/(2.54)^4))/(($B7/25.4)*($F7*0.00571)))^0.5)*25.4/1000</f>
        <v>6.424085786548039</v>
      </c>
      <c r="R7" s="11">
        <f>((384*Input!$G$4*($J7/(2.54)^4)*(Input!$G$5))/($F7*0.00571))^(1/4)*25.4/1000</f>
        <v>6.884385540778565</v>
      </c>
      <c r="S7" s="11">
        <f>(((24*Input!$G$6*($J7/(2.54)^4))/(($B7/25.4)*($F7*0.00571)))^0.5)*25.4/1000</f>
        <v>7.8678661204543126</v>
      </c>
      <c r="T7" s="11">
        <f>((Input!$G$4*($J7/(2.54)^4)*(Input!$G$5))/(17.1*$F7*0.06854))^(1/4)*0.3048</f>
        <v>4.9304617981542584</v>
      </c>
      <c r="U7" s="11">
        <f>(((20*Input!$G$6*($J7/(2.54)^4))/(($B7/25.4)*($F7*0.00571)))^0.5)*25.4/1000</f>
        <v>7.1823462560058093</v>
      </c>
      <c r="V7" s="11">
        <f>((384*Input!$C$4*$J7*Input!$C$5)/(3*$F7*100000))^(1/4)</f>
        <v>5.2309477079401638</v>
      </c>
      <c r="W7" s="11">
        <f>(((200*Input!$C$6*($J7))/($B7*($F7)))^0.5)</f>
        <v>7.1821976951838877</v>
      </c>
      <c r="X7" s="11">
        <f t="shared" si="2"/>
        <v>4.6038184723106372</v>
      </c>
      <c r="Y7" s="26">
        <v>6.5</v>
      </c>
      <c r="Z7" s="26" t="s">
        <v>6</v>
      </c>
      <c r="AA7" s="26" t="s">
        <v>6</v>
      </c>
      <c r="AB7" s="33" t="s">
        <v>6</v>
      </c>
      <c r="AC7" s="32">
        <f t="shared" si="3"/>
        <v>1.4118714799668626</v>
      </c>
      <c r="AD7" s="32">
        <f t="shared" si="4"/>
        <v>0.94417536410055203</v>
      </c>
    </row>
    <row r="8" spans="1:30" x14ac:dyDescent="0.2">
      <c r="A8" s="9">
        <v>3</v>
      </c>
      <c r="B8" s="6">
        <v>88.9</v>
      </c>
      <c r="C8" s="5" t="s">
        <v>7</v>
      </c>
      <c r="D8" s="7">
        <v>5.49</v>
      </c>
      <c r="E8" s="8">
        <v>100</v>
      </c>
      <c r="F8" s="8">
        <f t="shared" si="0"/>
        <v>157.58298983281844</v>
      </c>
      <c r="G8" s="8">
        <f>(3.14*(B8+E8)*E8*Input!C$2/1000000)*9.81</f>
        <v>116.37524520000004</v>
      </c>
      <c r="H8" s="8">
        <f>((3.14*(B8-2*D8)^2)/4*Input!C$3/1000000)*9.81</f>
        <v>46.755914077440003</v>
      </c>
      <c r="I8" s="8">
        <f>(Input!C$8/1067)*'Bare+Water'!B8</f>
        <v>1.3747422680412373</v>
      </c>
      <c r="J8" s="142">
        <f t="shared" si="1"/>
        <v>125.6987191076508</v>
      </c>
      <c r="K8" s="11">
        <f>(Input!C$9*(Input!C$7+I8)*D8^2)/(0.644*F8*((B8/2)*D8)^0.5)</f>
        <v>129.13144067488497</v>
      </c>
      <c r="L8" s="11">
        <f>((384*Input!$C$4*$J8*Input!$C$5)/(5*$F8*100000))^(1/4)</f>
        <v>5.0432635445569405</v>
      </c>
      <c r="M8" s="11">
        <f>((160*Input!$C$6*$J8)/(B8*$F8))^0.5</f>
        <v>6.9864945947480352</v>
      </c>
      <c r="N8" s="11">
        <f>((384*Input!$C$4*$J8*Input!$C$5)/(($F8*100000)))^(1/4)</f>
        <v>7.541437994730634</v>
      </c>
      <c r="O8" s="11">
        <f>((240*Input!$C$6*$J8)/($B8*$F8))^0.5</f>
        <v>8.5566734239227156</v>
      </c>
      <c r="P8" s="11">
        <f>((185*Input!$G$4*($J8/(2.54)^4)*(Input!$G$5))/($F8*0.00571))^(1/4)*25.4/1000</f>
        <v>6.2830249197335384</v>
      </c>
      <c r="Q8" s="11">
        <f>(((16*Input!$G$6*($J8/(2.54)^4))/(($B8/25.4)*($F8*0.00571)))^0.5)*25.4/1000</f>
        <v>6.9866391075313636</v>
      </c>
      <c r="R8" s="11">
        <f>((384*Input!$G$4*($J8/(2.54)^4)*(Input!$G$5))/($F8*0.00571))^(1/4)*25.4/1000</f>
        <v>7.541515990107607</v>
      </c>
      <c r="S8" s="11">
        <f>(((24*Input!$G$6*($J8/(2.54)^4))/(($B8/25.4)*($F8*0.00571)))^0.5)*25.4/1000</f>
        <v>8.5568504152129456</v>
      </c>
      <c r="T8" s="11">
        <f>((Input!$G$4*($J8/(2.54)^4)*(Input!$G$5))/(17.1*$F8*0.06854))^(1/4)*0.3048</f>
        <v>5.4010857278614797</v>
      </c>
      <c r="U8" s="11">
        <f>(((20*Input!$G$6*($J8/(2.54)^4))/(($B8/25.4)*($F8*0.00571)))^0.5)*25.4/1000</f>
        <v>7.8112999893492967</v>
      </c>
      <c r="V8" s="11">
        <f>((384*Input!$C$4*$J8*Input!$C$5)/(3*$F8*100000))^(1/4)</f>
        <v>5.7302537095251216</v>
      </c>
      <c r="W8" s="11">
        <f>(((200*Input!$C$6*($J8))/($B8*($F8)))^0.5)</f>
        <v>7.8111384191457258</v>
      </c>
      <c r="X8" s="11">
        <f t="shared" si="2"/>
        <v>5.0432635445569405</v>
      </c>
      <c r="Y8" s="26">
        <v>6.5</v>
      </c>
      <c r="Z8" s="26">
        <v>5.85</v>
      </c>
      <c r="AA8" s="26">
        <v>9.5</v>
      </c>
      <c r="AB8" s="32">
        <f t="shared" ref="AB8:AB18" si="5">Z8/MIN(L8:W8)</f>
        <v>1.1599631762876537</v>
      </c>
      <c r="AC8" s="32">
        <f t="shared" si="3"/>
        <v>1.2888479736529486</v>
      </c>
      <c r="AD8" s="32">
        <f t="shared" si="4"/>
        <v>0.86190458696891636</v>
      </c>
    </row>
    <row r="9" spans="1:30" x14ac:dyDescent="0.2">
      <c r="A9" s="9">
        <v>4</v>
      </c>
      <c r="B9" s="6">
        <v>114.3</v>
      </c>
      <c r="C9" s="5" t="s">
        <v>7</v>
      </c>
      <c r="D9" s="7">
        <v>6.02</v>
      </c>
      <c r="E9" s="8">
        <v>100</v>
      </c>
      <c r="F9" s="8">
        <f t="shared" si="0"/>
        <v>238.28979741380942</v>
      </c>
      <c r="G9" s="8">
        <f>(3.14*(B9+E9)*E9*Input!C$2/1000000)*9.81</f>
        <v>132.02337240000003</v>
      </c>
      <c r="H9" s="8">
        <f>((3.14*(B9-2*D9)^2)/4*Input!C$3/1000000)*9.81</f>
        <v>80.528617061459997</v>
      </c>
      <c r="I9" s="8">
        <f>(Input!C$8/1067)*'Bare+Water'!B9</f>
        <v>1.7675257731958762</v>
      </c>
      <c r="J9" s="142">
        <f t="shared" si="1"/>
        <v>301.16764717117178</v>
      </c>
      <c r="K9" s="11">
        <f>(Input!C$9*(Input!C$7+I9)*D9^2)/(0.644*F9*((B9/2)*D9)^0.5)</f>
        <v>86.811912231912899</v>
      </c>
      <c r="L9" s="11">
        <f>((384*Input!$C$4*$J9*Input!$C$5)/(5*$F9*100000))^(1/4)</f>
        <v>5.6582482994428425</v>
      </c>
      <c r="M9" s="11">
        <f>((160*Input!$C$6*$J9)/(B9*$F9))^0.5</f>
        <v>7.7558208469557641</v>
      </c>
      <c r="N9" s="11">
        <f>((384*Input!$C$4*$J9*Input!$C$5)/(($F9*100000)))^(1/4)</f>
        <v>8.4610546984188986</v>
      </c>
      <c r="O9" s="11">
        <f>((240*Input!$C$6*$J9)/($B9*$F9))^0.5</f>
        <v>9.4989018057410437</v>
      </c>
      <c r="P9" s="11">
        <f>((185*Input!$G$4*($J9/(2.54)^4)*(Input!$G$5))/($F9*0.00571))^(1/4)*25.4/1000</f>
        <v>7.0491884378734149</v>
      </c>
      <c r="Q9" s="11">
        <f>(((16*Input!$G$6*($J9/(2.54)^4))/(($B9/25.4)*($F9*0.00571)))^0.5)*25.4/1000</f>
        <v>7.7559812729379765</v>
      </c>
      <c r="R9" s="11">
        <f>((384*Input!$G$4*($J9/(2.54)^4)*(Input!$G$5))/($F9*0.00571))^(1/4)*25.4/1000</f>
        <v>8.4611422046943954</v>
      </c>
      <c r="S9" s="11">
        <f>(((24*Input!$G$6*($J9/(2.54)^4))/(($B9/25.4)*($F9*0.00571)))^0.5)*25.4/1000</f>
        <v>9.4990982866399936</v>
      </c>
      <c r="T9" s="11">
        <f>((Input!$G$4*($J9/(2.54)^4)*(Input!$G$5))/(17.1*$F9*0.06854))^(1/4)*0.3048</f>
        <v>6.0597039724010786</v>
      </c>
      <c r="U9" s="11">
        <f>(((20*Input!$G$6*($J9/(2.54)^4))/(($B9/25.4)*($F9*0.00571)))^0.5)*25.4/1000</f>
        <v>8.6714506792523327</v>
      </c>
      <c r="V9" s="11">
        <f>((384*Input!$C$4*$J9*Input!$C$5)/(3*$F9*100000))^(1/4)</f>
        <v>6.429011298108751</v>
      </c>
      <c r="W9" s="11">
        <f>(((200*Input!$C$6*($J9))/($B9*($F9)))^0.5)</f>
        <v>8.6712713175515415</v>
      </c>
      <c r="X9" s="11">
        <f t="shared" si="2"/>
        <v>5.6582482994428425</v>
      </c>
      <c r="Y9" s="26">
        <v>7.5</v>
      </c>
      <c r="Z9" s="26">
        <v>6.6</v>
      </c>
      <c r="AA9" s="26"/>
      <c r="AB9" s="32">
        <f t="shared" si="5"/>
        <v>1.1664387369939013</v>
      </c>
      <c r="AC9" s="32">
        <f t="shared" si="3"/>
        <v>1.3254985647657971</v>
      </c>
      <c r="AD9" s="32">
        <f t="shared" si="4"/>
        <v>0.8864143144472888</v>
      </c>
    </row>
    <row r="10" spans="1:30" x14ac:dyDescent="0.2">
      <c r="A10" s="9">
        <v>6</v>
      </c>
      <c r="B10" s="6">
        <v>168.27</v>
      </c>
      <c r="C10" s="5" t="s">
        <v>7</v>
      </c>
      <c r="D10" s="7">
        <v>7.11</v>
      </c>
      <c r="E10" s="8">
        <v>100</v>
      </c>
      <c r="F10" s="8">
        <f t="shared" si="0"/>
        <v>460.07265835630199</v>
      </c>
      <c r="G10" s="8">
        <f>(3.14*(B10+E10)*E10*Input!C$2/1000000)*9.81</f>
        <v>165.27256236000002</v>
      </c>
      <c r="H10" s="8">
        <f>((3.14*(B10-2*D10)^2)/4*Input!C$3/1000000)*9.81</f>
        <v>182.75197094212504</v>
      </c>
      <c r="I10" s="8">
        <f>(Input!C$8/1067)*'Bare+Water'!B10</f>
        <v>2.6021134020618559</v>
      </c>
      <c r="J10" s="142">
        <f t="shared" si="1"/>
        <v>1171.4199313728818</v>
      </c>
      <c r="K10" s="11">
        <f>(Input!C$9*(Input!C$7+I10)*D10^2)/(0.644*F10*((B10/2)*D10)^0.5)</f>
        <v>47.955107516388665</v>
      </c>
      <c r="L10" s="11">
        <f>((384*Input!$C$4*$J10*Input!$C$5)/(5*$F10*100000))^(1/4)</f>
        <v>6.7410543823954159</v>
      </c>
      <c r="M10" s="11">
        <f>((160*Input!$C$6*$J10)/(B10*$F10))^0.5</f>
        <v>9.0727552402583207</v>
      </c>
      <c r="N10" s="11">
        <f>((384*Input!$C$4*$J10*Input!$C$5)/(($F10*100000)))^(1/4)</f>
        <v>10.080227454860953</v>
      </c>
      <c r="O10" s="11">
        <f>((240*Input!$C$6*$J10)/($B10*$F10))^0.5</f>
        <v>11.111810449897543</v>
      </c>
      <c r="P10" s="11">
        <f>((185*Input!$G$4*($J10/(2.54)^4)*(Input!$G$5))/($F10*0.00571))^(1/4)*25.4/1000</f>
        <v>8.3981755654195638</v>
      </c>
      <c r="Q10" s="11">
        <f>(((16*Input!$G$6*($J10/(2.54)^4))/(($B10/25.4)*($F10*0.00571)))^0.5)*25.4/1000</f>
        <v>9.0729429064898532</v>
      </c>
      <c r="R10" s="11">
        <f>((384*Input!$G$4*($J10/(2.54)^4)*(Input!$G$5))/($F10*0.00571))^(1/4)*25.4/1000</f>
        <v>10.080331707012983</v>
      </c>
      <c r="S10" s="11">
        <f>(((24*Input!$G$6*($J10/(2.54)^4))/(($B10/25.4)*($F10*0.00571)))^0.5)*25.4/1000</f>
        <v>11.112040293152148</v>
      </c>
      <c r="T10" s="11">
        <f>((Input!$G$4*($J10/(2.54)^4)*(Input!$G$5))/(17.1*$F10*0.06854))^(1/4)*0.3048</f>
        <v>7.2193357126436988</v>
      </c>
      <c r="U10" s="11">
        <f>(((20*Input!$G$6*($J10/(2.54)^4))/(($B10/25.4)*($F10*0.00571)))^0.5)*25.4/1000</f>
        <v>10.143858547442916</v>
      </c>
      <c r="V10" s="11">
        <f>((384*Input!$C$4*$J10*Input!$C$5)/(3*$F10*100000))^(1/4)</f>
        <v>7.6593165396882812</v>
      </c>
      <c r="W10" s="11">
        <f>(((200*Input!$C$6*($J10))/($B10*($F10)))^0.5)</f>
        <v>10.143648730217521</v>
      </c>
      <c r="X10" s="11">
        <f t="shared" si="2"/>
        <v>6.7410543823954159</v>
      </c>
      <c r="Y10" s="26">
        <v>9</v>
      </c>
      <c r="Z10" s="26">
        <v>7.85</v>
      </c>
      <c r="AA10" s="26"/>
      <c r="AB10" s="32">
        <f t="shared" si="5"/>
        <v>1.164506255950204</v>
      </c>
      <c r="AC10" s="32">
        <f t="shared" si="3"/>
        <v>1.3351027138282592</v>
      </c>
      <c r="AD10" s="32">
        <f t="shared" si="4"/>
        <v>0.89283699602035871</v>
      </c>
    </row>
    <row r="11" spans="1:30" x14ac:dyDescent="0.2">
      <c r="A11" s="9">
        <v>8</v>
      </c>
      <c r="B11" s="6">
        <v>219.07</v>
      </c>
      <c r="C11" s="5" t="s">
        <v>7</v>
      </c>
      <c r="D11" s="7">
        <v>8.18</v>
      </c>
      <c r="E11" s="8">
        <v>120</v>
      </c>
      <c r="F11" s="8">
        <f t="shared" si="0"/>
        <v>733.94617870705179</v>
      </c>
      <c r="G11" s="8">
        <f>(3.14*(B11+E11)*E11*Input!C$2/1000000)*9.81</f>
        <v>250.66821211200005</v>
      </c>
      <c r="H11" s="8">
        <f>((3.14*(B11-2*D11)^2)/4*Input!C$3/1000000)*9.81</f>
        <v>316.43827721248505</v>
      </c>
      <c r="I11" s="8">
        <f>(Input!C$8/1067)*'Bare+Water'!B11</f>
        <v>3.3876804123711342</v>
      </c>
      <c r="J11" s="142">
        <f t="shared" si="1"/>
        <v>3018.5677673902569</v>
      </c>
      <c r="K11" s="11">
        <f>(Input!C$9*(Input!C$7+I11)*D11^2)/(0.644*F11*((B11/2)*D11)^0.5)</f>
        <v>32.760235311870808</v>
      </c>
      <c r="L11" s="11">
        <f>((384*Input!$C$4*$J11*Input!$C$5)/(5*$F11*100000))^(1/4)</f>
        <v>7.5995952690102806</v>
      </c>
      <c r="M11" s="11">
        <f>((160*Input!$C$6*$J11)/(B11*$F11))^0.5</f>
        <v>10.105931589776562</v>
      </c>
      <c r="N11" s="11">
        <f>((384*Input!$C$4*$J11*Input!$C$5)/(($F11*100000)))^(1/4)</f>
        <v>11.364045523289079</v>
      </c>
      <c r="O11" s="11">
        <f>((240*Input!$C$6*$J11)/($B11*$F11))^0.5</f>
        <v>12.377187885213093</v>
      </c>
      <c r="P11" s="11">
        <f>((185*Input!$G$4*($J11/(2.54)^4)*(Input!$G$5))/($F11*0.00571))^(1/4)*25.4/1000</f>
        <v>9.4677674551857063</v>
      </c>
      <c r="Q11" s="11">
        <f>(((16*Input!$G$6*($J11/(2.54)^4))/(($B11/25.4)*($F11*0.00571)))^0.5)*25.4/1000</f>
        <v>10.106140626838334</v>
      </c>
      <c r="R11" s="11">
        <f>((384*Input!$G$4*($J11/(2.54)^4)*(Input!$G$5))/($F11*0.00571))^(1/4)*25.4/1000</f>
        <v>11.364163052998288</v>
      </c>
      <c r="S11" s="11">
        <f>(((24*Input!$G$6*($J11/(2.54)^4))/(($B11/25.4)*($F11*0.00571)))^0.5)*25.4/1000</f>
        <v>12.377443902282428</v>
      </c>
      <c r="T11" s="11">
        <f>((Input!$G$4*($J11/(2.54)^4)*(Input!$G$5))/(17.1*$F11*0.06854))^(1/4)*0.3048</f>
        <v>8.1387905237026494</v>
      </c>
      <c r="U11" s="11">
        <f>(((20*Input!$G$6*($J11/(2.54)^4))/(($B11/25.4)*($F11*0.00571)))^0.5)*25.4/1000</f>
        <v>11.299008715891425</v>
      </c>
      <c r="V11" s="11">
        <f>((384*Input!$C$4*$J11*Input!$C$5)/(3*$F11*100000))^(1/4)</f>
        <v>8.6348073219642654</v>
      </c>
      <c r="W11" s="11">
        <f>(((200*Input!$C$6*($J11))/($B11*($F11)))^0.5)</f>
        <v>11.298775005351457</v>
      </c>
      <c r="X11" s="11">
        <f t="shared" si="2"/>
        <v>7.5995952690102806</v>
      </c>
      <c r="Y11" s="26">
        <v>10</v>
      </c>
      <c r="Z11" s="26">
        <v>8.6</v>
      </c>
      <c r="AA11" s="26"/>
      <c r="AB11" s="32">
        <f t="shared" si="5"/>
        <v>1.1316392117708138</v>
      </c>
      <c r="AC11" s="32">
        <f t="shared" si="3"/>
        <v>1.3158595485707139</v>
      </c>
      <c r="AD11" s="32">
        <f t="shared" si="4"/>
        <v>0.87996831581731605</v>
      </c>
    </row>
    <row r="12" spans="1:30" x14ac:dyDescent="0.2">
      <c r="A12" s="9">
        <v>10</v>
      </c>
      <c r="B12" s="6">
        <v>273.05</v>
      </c>
      <c r="C12" s="5" t="s">
        <v>7</v>
      </c>
      <c r="D12" s="7">
        <v>9.27</v>
      </c>
      <c r="E12" s="8">
        <v>120</v>
      </c>
      <c r="F12" s="8">
        <f t="shared" si="0"/>
        <v>1090.6279656187851</v>
      </c>
      <c r="G12" s="8">
        <f>(3.14*(B12+E12)*E12*Input!C$2/1000000)*9.81</f>
        <v>290.57463288000002</v>
      </c>
      <c r="H12" s="8">
        <f>((3.14*(B12-2*D12)^2)/4*Input!C$3/1000000)*9.81</f>
        <v>498.82517780908506</v>
      </c>
      <c r="I12" s="8">
        <f>(Input!C$8/1067)*'Bare+Water'!B12</f>
        <v>4.2224226804123717</v>
      </c>
      <c r="J12" s="142">
        <f t="shared" si="1"/>
        <v>6692.1877553114891</v>
      </c>
      <c r="K12" s="11">
        <f>(Input!C$9*(Input!C$7+I12)*D12^2)/(0.644*F12*((B12/2)*D12)^0.5)</f>
        <v>24.015242623843065</v>
      </c>
      <c r="L12" s="11">
        <f>((384*Input!$C$4*$J12*Input!$C$5)/(5*$F12*100000))^(1/4)</f>
        <v>8.3990304625419281</v>
      </c>
      <c r="M12" s="11">
        <f>((160*Input!$C$6*$J12)/(B12*$F12))^0.5</f>
        <v>11.056663772504308</v>
      </c>
      <c r="N12" s="11">
        <f>((384*Input!$C$4*$J12*Input!$C$5)/(($F12*100000)))^(1/4)</f>
        <v>12.559479965601978</v>
      </c>
      <c r="O12" s="11">
        <f>((240*Input!$C$6*$J12)/($B12*$F12))^0.5</f>
        <v>13.54159225007583</v>
      </c>
      <c r="P12" s="11">
        <f>((185*Input!$G$4*($J12/(2.54)^4)*(Input!$G$5))/($F12*0.00571))^(1/4)*25.4/1000</f>
        <v>10.463723981806726</v>
      </c>
      <c r="Q12" s="11">
        <f>(((16*Input!$G$6*($J12/(2.54)^4))/(($B12/25.4)*($F12*0.00571)))^0.5)*25.4/1000</f>
        <v>11.056892475072443</v>
      </c>
      <c r="R12" s="11">
        <f>((384*Input!$G$4*($J12/(2.54)^4)*(Input!$G$5))/($F12*0.00571))^(1/4)*25.4/1000</f>
        <v>12.559609858783515</v>
      </c>
      <c r="S12" s="11">
        <f>(((24*Input!$G$6*($J12/(2.54)^4))/(($B12/25.4)*($F12*0.00571)))^0.5)*25.4/1000</f>
        <v>13.541872352373229</v>
      </c>
      <c r="T12" s="11">
        <f>((Input!$G$4*($J12/(2.54)^4)*(Input!$G$5))/(17.1*$F12*0.06854))^(1/4)*0.3048</f>
        <v>8.9949460618747636</v>
      </c>
      <c r="U12" s="11">
        <f>(((20*Input!$G$6*($J12/(2.54)^4))/(($B12/25.4)*($F12*0.00571)))^0.5)*25.4/1000</f>
        <v>12.361981597083943</v>
      </c>
      <c r="V12" s="11">
        <f>((384*Input!$C$4*$J12*Input!$C$5)/(3*$F12*100000))^(1/4)</f>
        <v>9.5431410710906164</v>
      </c>
      <c r="W12" s="11">
        <f>(((200*Input!$C$6*($J12))/($B12*($F12)))^0.5)</f>
        <v>12.361725899839451</v>
      </c>
      <c r="X12" s="11">
        <f t="shared" si="2"/>
        <v>8.3990304625419281</v>
      </c>
      <c r="Y12" s="26">
        <v>11.5</v>
      </c>
      <c r="Z12" s="26">
        <v>9.35</v>
      </c>
      <c r="AA12" s="26"/>
      <c r="AB12" s="32">
        <f t="shared" si="5"/>
        <v>1.1132237276313277</v>
      </c>
      <c r="AC12" s="32">
        <f t="shared" si="3"/>
        <v>1.3692056543059112</v>
      </c>
      <c r="AD12" s="32">
        <f t="shared" si="4"/>
        <v>0.91564300683597633</v>
      </c>
    </row>
    <row r="13" spans="1:30" x14ac:dyDescent="0.2">
      <c r="A13" s="9">
        <v>12</v>
      </c>
      <c r="B13" s="6">
        <v>323.85000000000002</v>
      </c>
      <c r="C13" s="5" t="s">
        <v>8</v>
      </c>
      <c r="D13" s="7">
        <v>9.5299999999999994</v>
      </c>
      <c r="E13" s="8">
        <v>120</v>
      </c>
      <c r="F13" s="8">
        <f t="shared" si="0"/>
        <v>1440.3559154820457</v>
      </c>
      <c r="G13" s="8">
        <f>(3.14*(B13+E13)*E13*Input!C$2/1000000)*9.81</f>
        <v>328.13013816000006</v>
      </c>
      <c r="H13" s="8">
        <f>((3.14*(B13-2*D13)^2)/4*Input!C$3/1000000)*9.81</f>
        <v>715.38543197248509</v>
      </c>
      <c r="I13" s="8">
        <f>(Input!C$8/1067)*'Bare+Water'!B13</f>
        <v>5.0079896907216499</v>
      </c>
      <c r="J13" s="142">
        <f t="shared" si="1"/>
        <v>11636.831740852953</v>
      </c>
      <c r="K13" s="11">
        <f>(Input!C$9*(Input!C$7+I13)*D13^2)/(0.644*F13*((B13/2)*D13)^0.5)</f>
        <v>17.535730288989374</v>
      </c>
      <c r="L13" s="11">
        <f>((384*Input!$C$4*$J13*Input!$C$5)/(5*$F13*100000))^(1/4)</f>
        <v>8.996995807750455</v>
      </c>
      <c r="M13" s="11">
        <f>((160*Input!$C$6*$J13)/(B13*$F13))^0.5</f>
        <v>11.649571903347406</v>
      </c>
      <c r="N13" s="11">
        <f>((384*Input!$C$4*$J13*Input!$C$5)/(($F13*100000)))^(1/4)</f>
        <v>13.453646715772072</v>
      </c>
      <c r="O13" s="11">
        <f>((240*Input!$C$6*$J13)/($B13*$F13))^0.5</f>
        <v>14.267753442532287</v>
      </c>
      <c r="P13" s="11">
        <f>((185*Input!$G$4*($J13/(2.54)^4)*(Input!$G$5))/($F13*0.00571))^(1/4)*25.4/1000</f>
        <v>11.208684290124751</v>
      </c>
      <c r="Q13" s="11">
        <f>(((16*Input!$G$6*($J13/(2.54)^4))/(($B13/25.4)*($F13*0.00571)))^0.5)*25.4/1000</f>
        <v>11.649812869977739</v>
      </c>
      <c r="R13" s="11">
        <f>((384*Input!$G$4*($J13/(2.54)^4)*(Input!$G$5))/($F13*0.00571))^(1/4)*25.4/1000</f>
        <v>13.453785856642558</v>
      </c>
      <c r="S13" s="11">
        <f>(((24*Input!$G$6*($J13/(2.54)^4))/(($B13/25.4)*($F13*0.00571)))^0.5)*25.4/1000</f>
        <v>14.268048565176965</v>
      </c>
      <c r="T13" s="11">
        <f>((Input!$G$4*($J13/(2.54)^4)*(Input!$G$5))/(17.1*$F13*0.06854))^(1/4)*0.3048</f>
        <v>9.6353373607287054</v>
      </c>
      <c r="U13" s="11">
        <f>(((20*Input!$G$6*($J13/(2.54)^4))/(($B13/25.4)*($F13*0.00571)))^0.5)*25.4/1000</f>
        <v>13.024886751211072</v>
      </c>
      <c r="V13" s="11">
        <f>((384*Input!$C$4*$J13*Input!$C$5)/(3*$F13*100000))^(1/4)</f>
        <v>10.22256087679297</v>
      </c>
      <c r="W13" s="11">
        <f>(((200*Input!$C$6*($J13))/($B13*($F13)))^0.5)</f>
        <v>13.024617342328204</v>
      </c>
      <c r="X13" s="11">
        <f t="shared" si="2"/>
        <v>8.996995807750455</v>
      </c>
      <c r="Y13" s="26">
        <v>12</v>
      </c>
      <c r="Z13" s="26">
        <v>9.9</v>
      </c>
      <c r="AA13" s="26"/>
      <c r="AB13" s="32">
        <f t="shared" si="5"/>
        <v>1.1003673016576991</v>
      </c>
      <c r="AC13" s="32">
        <f t="shared" si="3"/>
        <v>1.3337785474638779</v>
      </c>
      <c r="AD13" s="32">
        <f t="shared" si="4"/>
        <v>0.89195147260200291</v>
      </c>
    </row>
    <row r="14" spans="1:30" x14ac:dyDescent="0.2">
      <c r="A14" s="9">
        <v>14</v>
      </c>
      <c r="B14" s="6">
        <v>355.6</v>
      </c>
      <c r="C14" s="5" t="s">
        <v>8</v>
      </c>
      <c r="D14" s="7">
        <v>9.5299999999999994</v>
      </c>
      <c r="E14" s="8">
        <v>120</v>
      </c>
      <c r="F14" s="8">
        <f t="shared" si="0"/>
        <v>1670.39288177924</v>
      </c>
      <c r="G14" s="8">
        <f>(3.14*(B14+E14)*E14*Input!C$2/1000000)*9.81</f>
        <v>351.60232896000002</v>
      </c>
      <c r="H14" s="8">
        <f>((3.14*(B14-2*D14)^2)/4*Input!C$3/1000000)*9.81</f>
        <v>872.19189161586019</v>
      </c>
      <c r="I14" s="8">
        <f>(Input!C$8/1067)*'Bare+Water'!B14</f>
        <v>5.4989690721649493</v>
      </c>
      <c r="J14" s="142">
        <f t="shared" si="1"/>
        <v>15528.901328725904</v>
      </c>
      <c r="K14" s="11">
        <f>(Input!C$9*(Input!C$7+I14)*D14^2)/(0.644*F14*((B14/2)*D14)^0.5)</f>
        <v>14.497462469033957</v>
      </c>
      <c r="L14" s="11">
        <f>((384*Input!$C$4*$J14*Input!$C$5)/(5*$F14*100000))^(1/4)</f>
        <v>9.3183026002299414</v>
      </c>
      <c r="M14" s="11">
        <f>((160*Input!$C$6*$J14)/(B14*$F14))^0.5</f>
        <v>11.925583116452646</v>
      </c>
      <c r="N14" s="11">
        <f>((384*Input!$C$4*$J14*Input!$C$5)/(($F14*100000)))^(1/4)</f>
        <v>13.934112436304378</v>
      </c>
      <c r="O14" s="11">
        <f>((240*Input!$C$6*$J14)/($B14*$F14))^0.5</f>
        <v>14.605796760229502</v>
      </c>
      <c r="P14" s="11">
        <f>((185*Input!$G$4*($J14/(2.54)^4)*(Input!$G$5))/($F14*0.00571))^(1/4)*25.4/1000</f>
        <v>11.608976395859957</v>
      </c>
      <c r="Q14" s="11">
        <f>(((16*Input!$G$6*($J14/(2.54)^4))/(($B14/25.4)*($F14*0.00571)))^0.5)*25.4/1000</f>
        <v>11.925829792262039</v>
      </c>
      <c r="R14" s="11">
        <f>((384*Input!$G$4*($J14/(2.54)^4)*(Input!$G$5))/($F14*0.00571))^(1/4)*25.4/1000</f>
        <v>13.934256546267617</v>
      </c>
      <c r="S14" s="11">
        <f>(((24*Input!$G$6*($J14/(2.54)^4))/(($B14/25.4)*($F14*0.00571)))^0.5)*25.4/1000</f>
        <v>14.606098875161949</v>
      </c>
      <c r="T14" s="11">
        <f>((Input!$G$4*($J14/(2.54)^4)*(Input!$G$5))/(17.1*$F14*0.06854))^(1/4)*0.3048</f>
        <v>9.979441037999127</v>
      </c>
      <c r="U14" s="11">
        <f>(((20*Input!$G$6*($J14/(2.54)^4))/(($B14/25.4)*($F14*0.00571)))^0.5)*25.4/1000</f>
        <v>13.333483051795056</v>
      </c>
      <c r="V14" s="11">
        <f>((384*Input!$C$4*$J14*Input!$C$5)/(3*$F14*100000))^(1/4)</f>
        <v>10.587635876985722</v>
      </c>
      <c r="W14" s="11">
        <f>(((200*Input!$C$6*($J14))/($B14*($F14)))^0.5)</f>
        <v>13.333207259855953</v>
      </c>
      <c r="X14" s="11">
        <f t="shared" si="2"/>
        <v>9.3183026002299414</v>
      </c>
      <c r="Y14" s="26">
        <v>12.5</v>
      </c>
      <c r="Z14" s="26">
        <v>10.6</v>
      </c>
      <c r="AA14" s="26"/>
      <c r="AB14" s="32">
        <f t="shared" si="5"/>
        <v>1.1375462307629323</v>
      </c>
      <c r="AC14" s="32">
        <f t="shared" si="3"/>
        <v>1.3414460268430803</v>
      </c>
      <c r="AD14" s="32">
        <f t="shared" si="4"/>
        <v>0.8970790251004509</v>
      </c>
    </row>
    <row r="15" spans="1:30" x14ac:dyDescent="0.2">
      <c r="A15" s="9">
        <v>16</v>
      </c>
      <c r="B15" s="6">
        <v>406.4</v>
      </c>
      <c r="C15" s="5" t="s">
        <v>8</v>
      </c>
      <c r="D15" s="7">
        <v>9.5299999999999994</v>
      </c>
      <c r="E15" s="8">
        <v>120</v>
      </c>
      <c r="F15" s="8">
        <f t="shared" si="0"/>
        <v>2070.7458503637508</v>
      </c>
      <c r="G15" s="8">
        <f>(3.14*(B15+E15)*E15*Input!C$2/1000000)*9.81</f>
        <v>389.15783424000006</v>
      </c>
      <c r="H15" s="8">
        <f>((3.14*(B15-2*D15)^2)/4*Input!C$3/1000000)*9.81</f>
        <v>1155.3760495542601</v>
      </c>
      <c r="I15" s="8">
        <f>(Input!C$8/1067)*'Bare+Water'!B15</f>
        <v>6.2845360824742267</v>
      </c>
      <c r="J15" s="142">
        <f t="shared" si="1"/>
        <v>23416.113910126078</v>
      </c>
      <c r="K15" s="11">
        <f>(Input!C$9*(Input!C$7+I15)*D15^2)/(0.644*F15*((B15/2)*D15)^0.5)</f>
        <v>11.020713591405348</v>
      </c>
      <c r="L15" s="11">
        <f>((384*Input!$C$4*$J15*Input!$C$5)/(5*$F15*100000))^(1/4)</f>
        <v>9.7859567078214535</v>
      </c>
      <c r="M15" s="11">
        <f>((160*Input!$C$6*$J15)/(B15*$F15))^0.5</f>
        <v>12.303158284466063</v>
      </c>
      <c r="N15" s="11">
        <f>((384*Input!$C$4*$J15*Input!$C$5)/(($F15*100000)))^(1/4)</f>
        <v>14.633418436124442</v>
      </c>
      <c r="O15" s="11">
        <f>((240*Input!$C$6*$J15)/($B15*$F15))^0.5</f>
        <v>15.068230010818752</v>
      </c>
      <c r="P15" s="11">
        <f>((185*Input!$G$4*($J15/(2.54)^4)*(Input!$G$5))/($F15*0.00571))^(1/4)*25.4/1000</f>
        <v>12.191591677780812</v>
      </c>
      <c r="Q15" s="11">
        <f>(((16*Input!$G$6*($J15/(2.54)^4))/(($B15/25.4)*($F15*0.00571)))^0.5)*25.4/1000</f>
        <v>12.303412770263384</v>
      </c>
      <c r="R15" s="11">
        <f>((384*Input!$G$4*($J15/(2.54)^4)*(Input!$G$5))/($F15*0.00571))^(1/4)*25.4/1000</f>
        <v>14.633569778479584</v>
      </c>
      <c r="S15" s="11">
        <f>(((24*Input!$G$6*($J15/(2.54)^4))/(($B15/25.4)*($F15*0.00571)))^0.5)*25.4/1000</f>
        <v>15.068541690993861</v>
      </c>
      <c r="T15" s="11">
        <f>((Input!$G$4*($J15/(2.54)^4)*(Input!$G$5))/(17.1*$F15*0.06854))^(1/4)*0.3048</f>
        <v>10.480275448846916</v>
      </c>
      <c r="U15" s="11">
        <f>(((20*Input!$G$6*($J15/(2.54)^4))/(($B15/25.4)*($F15*0.00571)))^0.5)*25.4/1000</f>
        <v>13.755633654773964</v>
      </c>
      <c r="V15" s="11">
        <f>((384*Input!$C$4*$J15*Input!$C$5)/(3*$F15*100000))^(1/4)</f>
        <v>11.118993530839267</v>
      </c>
      <c r="W15" s="11">
        <f>(((200*Input!$C$6*($J15))/($B15*($F15)))^0.5)</f>
        <v>13.755349131002905</v>
      </c>
      <c r="X15" s="11">
        <f t="shared" si="2"/>
        <v>9.7859567078214535</v>
      </c>
      <c r="Y15" s="26">
        <v>13</v>
      </c>
      <c r="Z15" s="26">
        <v>11.1</v>
      </c>
      <c r="AA15" s="26"/>
      <c r="AB15" s="32">
        <f t="shared" si="5"/>
        <v>1.1342784697921557</v>
      </c>
      <c r="AC15" s="32">
        <f t="shared" si="3"/>
        <v>1.3284342439007228</v>
      </c>
      <c r="AD15" s="32">
        <f t="shared" si="4"/>
        <v>0.88837752140729176</v>
      </c>
    </row>
    <row r="16" spans="1:30" x14ac:dyDescent="0.2">
      <c r="A16" s="9">
        <v>18</v>
      </c>
      <c r="B16" s="6">
        <v>457.2</v>
      </c>
      <c r="C16" s="5" t="s">
        <v>8</v>
      </c>
      <c r="D16" s="7">
        <v>9.5299999999999994</v>
      </c>
      <c r="E16" s="8">
        <v>120</v>
      </c>
      <c r="F16" s="8">
        <f t="shared" si="0"/>
        <v>2510.8450620362628</v>
      </c>
      <c r="G16" s="8">
        <f>(3.14*(B16+E16)*E16*Input!C$2/1000000)*9.81</f>
        <v>426.71333952000003</v>
      </c>
      <c r="H16" s="8">
        <f>((3.14*(B16-2*D16)^2)/4*Input!C$3/1000000)*9.81</f>
        <v>1478.3064505806599</v>
      </c>
      <c r="I16" s="8">
        <f>(Input!C$8/1067)*'Bare+Water'!B16</f>
        <v>7.0701030927835049</v>
      </c>
      <c r="J16" s="142">
        <f t="shared" si="1"/>
        <v>33603.955567629222</v>
      </c>
      <c r="K16" s="11">
        <f>(Input!C$9*(Input!C$7+I16)*D16^2)/(0.644*F16*((B16/2)*D16)^0.5)</f>
        <v>8.6325376228024115</v>
      </c>
      <c r="L16" s="11">
        <f>((384*Input!$C$4*$J16*Input!$C$5)/(5*$F16*100000))^(1/4)</f>
        <v>10.207018605926034</v>
      </c>
      <c r="M16" s="11">
        <f>((160*Input!$C$6*$J16)/(B16*$F16))^0.5</f>
        <v>12.619193004490795</v>
      </c>
      <c r="N16" s="11">
        <f>((384*Input!$C$4*$J16*Input!$C$5)/(($F16*100000)))^(1/4)</f>
        <v>15.263052832273821</v>
      </c>
      <c r="O16" s="11">
        <f>((240*Input!$C$6*$J16)/($B16*$F16))^0.5</f>
        <v>15.455291913350717</v>
      </c>
      <c r="P16" s="11">
        <f>((185*Input!$G$4*($J16/(2.54)^4)*(Input!$G$5))/($F16*0.00571))^(1/4)*25.4/1000</f>
        <v>12.716161210022824</v>
      </c>
      <c r="Q16" s="11">
        <f>(((16*Input!$G$6*($J16/(2.54)^4))/(($B16/25.4)*($F16*0.00571)))^0.5)*25.4/1000</f>
        <v>12.619454027337046</v>
      </c>
      <c r="R16" s="11">
        <f>((384*Input!$G$4*($J16/(2.54)^4)*(Input!$G$5))/($F16*0.00571))^(1/4)*25.4/1000</f>
        <v>15.263210686460285</v>
      </c>
      <c r="S16" s="11">
        <f>(((24*Input!$G$6*($J16/(2.54)^4))/(($B16/25.4)*($F16*0.00571)))^0.5)*25.4/1000</f>
        <v>15.455611599742978</v>
      </c>
      <c r="T16" s="11">
        <f>((Input!$G$4*($J16/(2.54)^4)*(Input!$G$5))/(17.1*$F16*0.06854))^(1/4)*0.3048</f>
        <v>10.931211908602901</v>
      </c>
      <c r="U16" s="11">
        <f>(((20*Input!$G$6*($J16/(2.54)^4))/(($B16/25.4)*($F16*0.00571)))^0.5)*25.4/1000</f>
        <v>14.108978522029563</v>
      </c>
      <c r="V16" s="11">
        <f>((384*Input!$C$4*$J16*Input!$C$5)/(3*$F16*100000))^(1/4)</f>
        <v>11.597412213947258</v>
      </c>
      <c r="W16" s="11">
        <f>(((200*Input!$C$6*($J16))/($B16*($F16)))^0.5)</f>
        <v>14.108686689615613</v>
      </c>
      <c r="X16" s="11">
        <f t="shared" si="2"/>
        <v>10.207018605926034</v>
      </c>
      <c r="Y16" s="26">
        <v>13.5</v>
      </c>
      <c r="Z16" s="26">
        <v>11.55</v>
      </c>
      <c r="AA16" s="26"/>
      <c r="AB16" s="32">
        <f t="shared" si="5"/>
        <v>1.1315743064575441</v>
      </c>
      <c r="AC16" s="32">
        <f t="shared" si="3"/>
        <v>1.3226193192360904</v>
      </c>
      <c r="AD16" s="32">
        <f t="shared" si="4"/>
        <v>0.88448884691365048</v>
      </c>
    </row>
    <row r="17" spans="1:30" x14ac:dyDescent="0.2">
      <c r="A17" s="9">
        <v>20</v>
      </c>
      <c r="B17" s="6">
        <v>508</v>
      </c>
      <c r="C17" s="5" t="s">
        <v>8</v>
      </c>
      <c r="D17" s="7">
        <v>9.5299999999999994</v>
      </c>
      <c r="E17" s="8">
        <v>140</v>
      </c>
      <c r="F17" s="8">
        <f t="shared" si="0"/>
        <v>2990.6905167967734</v>
      </c>
      <c r="G17" s="8">
        <f>(3.14*(B17+E17)*E17*Input!C$2/1000000)*9.81</f>
        <v>558.89688960000001</v>
      </c>
      <c r="H17" s="8">
        <f>((3.14*(B17-2*D17)^2)/4*Input!C$3/1000000)*9.81</f>
        <v>1840.9830946950603</v>
      </c>
      <c r="I17" s="8">
        <f>(Input!C$8/1067)*'Bare+Water'!B17</f>
        <v>7.855670103092784</v>
      </c>
      <c r="J17" s="142">
        <f t="shared" si="1"/>
        <v>46386.910533014052</v>
      </c>
      <c r="K17" s="11">
        <f>(Input!C$9*(Input!C$7+I17)*D17^2)/(0.644*F17*((B17/2)*D17)^0.5)</f>
        <v>6.9260071539478743</v>
      </c>
      <c r="L17" s="11">
        <f>((384*Input!$C$4*$J17*Input!$C$5)/(5*$F17*100000))^(1/4)</f>
        <v>10.590397916186344</v>
      </c>
      <c r="M17" s="11">
        <f>((160*Input!$C$6*$J17)/(B17*$F17))^0.5</f>
        <v>12.887823542338966</v>
      </c>
      <c r="N17" s="11">
        <f>((384*Input!$C$4*$J17*Input!$C$5)/(($F17*100000)))^(1/4)</f>
        <v>15.836338616617001</v>
      </c>
      <c r="O17" s="11">
        <f>((240*Input!$C$6*$J17)/($B17*$F17))^0.5</f>
        <v>15.784295786879429</v>
      </c>
      <c r="P17" s="11">
        <f>((185*Input!$G$4*($J17/(2.54)^4)*(Input!$G$5))/($F17*0.00571))^(1/4)*25.4/1000</f>
        <v>13.19378482393757</v>
      </c>
      <c r="Q17" s="11">
        <f>(((16*Input!$G$6*($J17/(2.54)^4))/(($B17/25.4)*($F17*0.00571)))^0.5)*25.4/1000</f>
        <v>12.888090121698028</v>
      </c>
      <c r="R17" s="11">
        <f>((384*Input!$G$4*($J17/(2.54)^4)*(Input!$G$5))/($F17*0.00571))^(1/4)*25.4/1000</f>
        <v>15.8365023998638</v>
      </c>
      <c r="S17" s="11">
        <f>(((24*Input!$G$6*($J17/(2.54)^4))/(($B17/25.4)*($F17*0.00571)))^0.5)*25.4/1000</f>
        <v>15.78462227858226</v>
      </c>
      <c r="T17" s="11">
        <f>((Input!$G$4*($J17/(2.54)^4)*(Input!$G$5))/(17.1*$F17*0.06854))^(1/4)*0.3048</f>
        <v>11.341792181220052</v>
      </c>
      <c r="U17" s="11">
        <f>(((20*Input!$G$6*($J17/(2.54)^4))/(($B17/25.4)*($F17*0.00571)))^0.5)*25.4/1000</f>
        <v>14.409322806130161</v>
      </c>
      <c r="V17" s="11">
        <f>((384*Input!$C$4*$J17*Input!$C$5)/(3*$F17*100000))^(1/4)</f>
        <v>12.033015210967973</v>
      </c>
      <c r="W17" s="11">
        <f>(((200*Input!$C$6*($J17))/($B17*($F17)))^0.5)</f>
        <v>14.409024761346034</v>
      </c>
      <c r="X17" s="11">
        <f t="shared" si="2"/>
        <v>10.590397916186344</v>
      </c>
      <c r="Y17" s="26">
        <v>14</v>
      </c>
      <c r="Z17" s="26">
        <v>12.3</v>
      </c>
      <c r="AA17" s="26"/>
      <c r="AB17" s="32">
        <f t="shared" si="5"/>
        <v>1.1614294474432074</v>
      </c>
      <c r="AC17" s="32">
        <f t="shared" si="3"/>
        <v>1.3219522166020246</v>
      </c>
      <c r="AD17" s="32">
        <f t="shared" si="4"/>
        <v>0.88695752975165287</v>
      </c>
    </row>
    <row r="18" spans="1:30" x14ac:dyDescent="0.2">
      <c r="A18" s="9">
        <v>24</v>
      </c>
      <c r="B18" s="6">
        <v>609.6</v>
      </c>
      <c r="C18" s="5" t="s">
        <v>8</v>
      </c>
      <c r="D18" s="7">
        <v>9.5299999999999994</v>
      </c>
      <c r="E18" s="8">
        <v>140</v>
      </c>
      <c r="F18" s="8">
        <f t="shared" si="0"/>
        <v>4069.6201555817952</v>
      </c>
      <c r="G18" s="8">
        <f>(3.14*(B18+E18)*E18*Input!C$2/1000000)*9.81</f>
        <v>646.52640192000013</v>
      </c>
      <c r="H18" s="8">
        <f>((3.14*(B18-2*D18)^2)/4*Input!C$3/1000000)*9.81</f>
        <v>2685.5751121878611</v>
      </c>
      <c r="I18" s="8">
        <f>(Input!C$8/1067)*'Bare+Water'!B18</f>
        <v>9.4268041237113405</v>
      </c>
      <c r="J18" s="142">
        <f t="shared" si="1"/>
        <v>80916.097314543847</v>
      </c>
      <c r="K18" s="11">
        <f>(Input!C$9*(Input!C$7+I18)*D18^2)/(0.644*F18*((B18/2)*D18)^0.5)</f>
        <v>4.7140115794019755</v>
      </c>
      <c r="L18" s="11">
        <f>((384*Input!$C$4*$J18*Input!$C$5)/(5*$F18*100000))^(1/4)</f>
        <v>11.268770851496024</v>
      </c>
      <c r="M18" s="11">
        <f>((160*Input!$C$6*$J18)/(B18*$F18))^0.5</f>
        <v>13.320407066897207</v>
      </c>
      <c r="N18" s="11">
        <f>((384*Input!$C$4*$J18*Input!$C$5)/(($F18*100000)))^(1/4)</f>
        <v>16.85074275864579</v>
      </c>
      <c r="O18" s="11">
        <f>((240*Input!$C$6*$J18)/($B18*$F18))^0.5</f>
        <v>16.314100240030637</v>
      </c>
      <c r="P18" s="11">
        <f>((185*Input!$G$4*($J18/(2.54)^4)*(Input!$G$5))/($F18*0.00571))^(1/4)*25.4/1000</f>
        <v>14.038918935959851</v>
      </c>
      <c r="Q18" s="11">
        <f>(((16*Input!$G$6*($J18/(2.54)^4))/(($B18/25.4)*($F18*0.00571)))^0.5)*25.4/1000</f>
        <v>13.320682594069556</v>
      </c>
      <c r="R18" s="11">
        <f>((384*Input!$G$4*($J18/(2.54)^4)*(Input!$G$5))/($F18*0.00571))^(1/4)*25.4/1000</f>
        <v>16.850917033105734</v>
      </c>
      <c r="S18" s="11">
        <f>(((24*Input!$G$6*($J18/(2.54)^4))/(($B18/25.4)*($F18*0.00571)))^0.5)*25.4/1000</f>
        <v>16.314437690521896</v>
      </c>
      <c r="T18" s="11">
        <f>((Input!$G$4*($J18/(2.54)^4)*(Input!$G$5))/(17.1*$F18*0.06854))^(1/4)*0.3048</f>
        <v>12.068296030701211</v>
      </c>
      <c r="U18" s="11">
        <f>(((20*Input!$G$6*($J18/(2.54)^4))/(($B18/25.4)*($F18*0.00571)))^0.5)*25.4/1000</f>
        <v>14.89297589351888</v>
      </c>
      <c r="V18" s="11">
        <f>((384*Input!$C$4*$J18*Input!$C$5)/(3*$F18*100000))^(1/4)</f>
        <v>12.803795677754234</v>
      </c>
      <c r="W18" s="11">
        <f>(((200*Input!$C$6*($J18))/($B18*($F18)))^0.5)</f>
        <v>14.892667844775373</v>
      </c>
      <c r="X18" s="11">
        <f t="shared" si="2"/>
        <v>11.268770851496024</v>
      </c>
      <c r="Y18" s="26">
        <v>15</v>
      </c>
      <c r="Z18" s="26">
        <v>13.1</v>
      </c>
      <c r="AA18" s="26"/>
      <c r="AB18" s="32">
        <f t="shared" si="5"/>
        <v>1.1625047818113068</v>
      </c>
      <c r="AC18" s="32">
        <f t="shared" si="3"/>
        <v>1.3311123455854659</v>
      </c>
      <c r="AD18" s="32">
        <f t="shared" si="4"/>
        <v>0.91945003275104498</v>
      </c>
    </row>
    <row r="19" spans="1:30" x14ac:dyDescent="0.2">
      <c r="A19" s="5">
        <v>0.75</v>
      </c>
      <c r="B19" s="6">
        <v>26.67</v>
      </c>
      <c r="C19" s="5" t="s">
        <v>9</v>
      </c>
      <c r="D19" s="7">
        <v>3.91</v>
      </c>
      <c r="E19" s="8">
        <v>40</v>
      </c>
      <c r="F19" s="8">
        <f t="shared" si="0"/>
        <v>24.274238214889081</v>
      </c>
      <c r="G19" s="8">
        <f>(3.14*(B19+E19)*E19*Input!C$2/1000000)*9.81</f>
        <v>16.429301424000002</v>
      </c>
      <c r="H19" s="8">
        <f>((3.14*(B19-2*D19)^2)/4*Input!C$3/1000000)*9.81</f>
        <v>2.7362852741250006</v>
      </c>
      <c r="I19" s="8">
        <f>(Input!C$8/1067)*'Bare+Water'!B19</f>
        <v>0.41242268041237118</v>
      </c>
      <c r="J19" s="142">
        <f t="shared" si="1"/>
        <v>1.8644553960993349</v>
      </c>
      <c r="K19" s="11">
        <f>(Input!C$9*(Input!C$7+I19)*D19^2)/(0.644*F19*((B19/2)*D19)^0.5)</f>
        <v>911.16996877966267</v>
      </c>
      <c r="L19" s="11">
        <f>((384*Input!$C$4*$J19*Input!$C$5)/(5*$F19*100000))^(1/4)</f>
        <v>2.8093631508810066</v>
      </c>
      <c r="M19" s="11">
        <f>((160*Input!$C$6*$J19)/(B19*$F19))^0.5</f>
        <v>3.9581398637714984</v>
      </c>
      <c r="N19" s="11">
        <f>((384*Input!$C$4*$J19*Input!$C$5)/(($F19*100000)))^(1/4)</f>
        <v>4.2009777636777201</v>
      </c>
      <c r="O19" s="11">
        <f>((240*Input!$C$6*$J19)/($B19*$F19))^0.5</f>
        <v>4.8477114984047462</v>
      </c>
      <c r="P19" s="11">
        <f>((185*Input!$G$4*($J19/(2.54)^4)*(Input!$G$5))/($F19*0.00571))^(1/4)*25.4/1000</f>
        <v>3.499975468190053</v>
      </c>
      <c r="Q19" s="11">
        <f>(((16*Input!$G$6*($J19/(2.54)^4))/(($B19/25.4)*($F19*0.00571)))^0.5)*25.4/1000</f>
        <v>3.9582217362757657</v>
      </c>
      <c r="R19" s="11">
        <f>((384*Input!$G$4*($J19/(2.54)^4)*(Input!$G$5))/($F19*0.00571))^(1/4)*25.4/1000</f>
        <v>4.2010212112065046</v>
      </c>
      <c r="S19" s="11">
        <f>(((24*Input!$G$6*($J19/(2.54)^4))/(($B19/25.4)*($F19*0.00571)))^0.5)*25.4/1000</f>
        <v>4.8478117713344533</v>
      </c>
      <c r="T19" s="11">
        <f>((Input!$G$4*($J19/(2.54)^4)*(Input!$G$5))/(17.1*$F19*0.06854))^(1/4)*0.3048</f>
        <v>3.0086889341683998</v>
      </c>
      <c r="U19" s="11">
        <f>(((20*Input!$G$6*($J19/(2.54)^4))/(($B19/25.4)*($F19*0.00571)))^0.5)*25.4/1000</f>
        <v>4.425426436164928</v>
      </c>
      <c r="V19" s="11">
        <f>((384*Input!$C$4*$J19*Input!$C$5)/(3*$F19*100000))^(1/4)</f>
        <v>3.1920528194711553</v>
      </c>
      <c r="W19" s="11">
        <f>(((200*Input!$C$6*($J19))/($B19*($F19)))^0.5)</f>
        <v>4.4253348999224142</v>
      </c>
      <c r="X19" s="11">
        <f t="shared" si="2"/>
        <v>2.8093631508810066</v>
      </c>
      <c r="Y19" s="26">
        <v>4</v>
      </c>
      <c r="Z19" s="26" t="s">
        <v>6</v>
      </c>
      <c r="AA19" s="26" t="s">
        <v>6</v>
      </c>
      <c r="AB19" s="33" t="s">
        <v>6</v>
      </c>
      <c r="AC19" s="32">
        <f t="shared" si="3"/>
        <v>1.4238102321323656</v>
      </c>
      <c r="AD19" s="32">
        <f t="shared" si="4"/>
        <v>0.95215928886474865</v>
      </c>
    </row>
    <row r="20" spans="1:30" x14ac:dyDescent="0.2">
      <c r="A20" s="5">
        <v>1</v>
      </c>
      <c r="B20" s="6">
        <v>33.4</v>
      </c>
      <c r="C20" s="5" t="s">
        <v>9</v>
      </c>
      <c r="D20" s="7">
        <v>4.55</v>
      </c>
      <c r="E20" s="8">
        <v>40</v>
      </c>
      <c r="F20" s="8">
        <f t="shared" si="0"/>
        <v>36.3169389932415</v>
      </c>
      <c r="G20" s="8">
        <f>(3.14*(B20+E20)*E20*Input!C$2/1000000)*9.81</f>
        <v>18.087756480000003</v>
      </c>
      <c r="H20" s="8">
        <f>((3.14*(B20-2*D20)^2)/4*Input!C$3/1000000)*9.81</f>
        <v>4.5472749165000002</v>
      </c>
      <c r="I20" s="8">
        <f>(Input!C$8/1067)*'Bare+Water'!B20</f>
        <v>0.51649484536082479</v>
      </c>
      <c r="J20" s="142">
        <f t="shared" si="1"/>
        <v>4.3989166291809374</v>
      </c>
      <c r="K20" s="11">
        <f>(Input!C$9*(Input!C$7+I20)*D20^2)/(0.644*F20*((B20/2)*D20)^0.5)</f>
        <v>683.8736870316128</v>
      </c>
      <c r="L20" s="11">
        <f>((384*Input!$C$4*$J20*Input!$C$5)/(5*$F20*100000))^(1/4)</f>
        <v>3.1482224257179876</v>
      </c>
      <c r="M20" s="11">
        <f>((160*Input!$C$6*$J20)/(B20*$F20))^0.5</f>
        <v>4.4416513334046259</v>
      </c>
      <c r="N20" s="11">
        <f>((384*Input!$C$4*$J20*Input!$C$5)/(($F20*100000)))^(1/4)</f>
        <v>4.7076905673107072</v>
      </c>
      <c r="O20" s="11">
        <f>((240*Input!$C$6*$J20)/($B20*$F20))^0.5</f>
        <v>5.439889691096929</v>
      </c>
      <c r="P20" s="11">
        <f>((185*Input!$G$4*($J20/(2.54)^4)*(Input!$G$5))/($F20*0.00571))^(1/4)*25.4/1000</f>
        <v>3.9221348991365903</v>
      </c>
      <c r="Q20" s="11">
        <f>(((16*Input!$G$6*($J20/(2.54)^4))/(($B20/25.4)*($F20*0.00571)))^0.5)*25.4/1000</f>
        <v>4.4417432071458931</v>
      </c>
      <c r="R20" s="11">
        <f>((384*Input!$G$4*($J20/(2.54)^4)*(Input!$G$5))/($F20*0.00571))^(1/4)*25.4/1000</f>
        <v>4.7077392553859454</v>
      </c>
      <c r="S20" s="11">
        <f>(((24*Input!$G$6*($J20/(2.54)^4))/(($B20/25.4)*($F20*0.00571)))^0.5)*25.4/1000</f>
        <v>5.4400022129903611</v>
      </c>
      <c r="T20" s="11">
        <f>((Input!$G$4*($J20/(2.54)^4)*(Input!$G$5))/(17.1*$F20*0.06854))^(1/4)*0.3048</f>
        <v>3.3715904515897543</v>
      </c>
      <c r="U20" s="11">
        <f>(((20*Input!$G$6*($J20/(2.54)^4))/(($B20/25.4)*($F20*0.00571)))^0.5)*25.4/1000</f>
        <v>4.9660198748880733</v>
      </c>
      <c r="V20" s="11">
        <f>((384*Input!$C$4*$J20*Input!$C$5)/(3*$F20*100000))^(1/4)</f>
        <v>3.5770712900480657</v>
      </c>
      <c r="W20" s="11">
        <f>(((200*Input!$C$6*($J20))/($B20*($F20)))^0.5)</f>
        <v>4.9659171569226634</v>
      </c>
      <c r="X20" s="11">
        <f t="shared" si="2"/>
        <v>3.1482224257179876</v>
      </c>
      <c r="Y20" s="26">
        <v>4.5</v>
      </c>
      <c r="Z20" s="26">
        <v>3.65</v>
      </c>
      <c r="AA20" s="26">
        <v>5.7</v>
      </c>
      <c r="AB20" s="32">
        <f>Z20/MIN(L20:W20)</f>
        <v>1.1593844101302901</v>
      </c>
      <c r="AC20" s="32">
        <f t="shared" si="3"/>
        <v>1.4293780398866589</v>
      </c>
      <c r="AD20" s="32">
        <f t="shared" si="4"/>
        <v>0.95588270632040462</v>
      </c>
    </row>
    <row r="21" spans="1:30" x14ac:dyDescent="0.2">
      <c r="A21" s="5">
        <v>1.5</v>
      </c>
      <c r="B21" s="6">
        <v>48.26</v>
      </c>
      <c r="C21" s="5" t="s">
        <v>9</v>
      </c>
      <c r="D21" s="7">
        <v>5.08</v>
      </c>
      <c r="E21" s="8">
        <v>50</v>
      </c>
      <c r="F21" s="8">
        <f t="shared" si="0"/>
        <v>64.267290298710734</v>
      </c>
      <c r="G21" s="8">
        <f>(3.14*(B21+E21)*E21*Input!C$2/1000000)*9.81</f>
        <v>30.267420839999996</v>
      </c>
      <c r="H21" s="8">
        <f>((3.14*(B21-2*D21)^2)/4*Input!C$3/1000000)*9.81</f>
        <v>11.178630868499999</v>
      </c>
      <c r="I21" s="8">
        <f>(Input!C$8/1067)*'Bare+Water'!B21</f>
        <v>0.74628865979381442</v>
      </c>
      <c r="J21" s="142">
        <f t="shared" si="1"/>
        <v>16.289515278788155</v>
      </c>
      <c r="K21" s="11">
        <f>(Input!C$9*(Input!C$7+I21)*D21^2)/(0.644*F21*((B21/2)*D21)^0.5)</f>
        <v>380.14117260387593</v>
      </c>
      <c r="L21" s="11">
        <f>((384*Input!$C$4*$J21*Input!$C$5)/(5*$F21*100000))^(1/4)</f>
        <v>3.7864813981865968</v>
      </c>
      <c r="M21" s="11">
        <f>((160*Input!$C$6*$J21)/(B21*$F21))^0.5</f>
        <v>5.3452112915938361</v>
      </c>
      <c r="N21" s="11">
        <f>((384*Input!$C$4*$J21*Input!$C$5)/(($F21*100000)))^(1/4)</f>
        <v>5.6621103438951508</v>
      </c>
      <c r="O21" s="11">
        <f>((240*Input!$C$6*$J21)/($B21*$F21))^0.5</f>
        <v>6.5465201158839621</v>
      </c>
      <c r="P21" s="11">
        <f>((185*Input!$G$4*($J21/(2.54)^4)*(Input!$G$5))/($F21*0.00571))^(1/4)*25.4/1000</f>
        <v>4.7172940245390071</v>
      </c>
      <c r="Q21" s="11">
        <f>(((16*Input!$G$6*($J21/(2.54)^4))/(($B21/25.4)*($F21*0.00571)))^0.5)*25.4/1000</f>
        <v>5.3453218551032968</v>
      </c>
      <c r="R21" s="11">
        <f>((384*Input!$G$4*($J21/(2.54)^4)*(Input!$G$5))/($F21*0.00571))^(1/4)*25.4/1000</f>
        <v>5.6621689028107083</v>
      </c>
      <c r="S21" s="11">
        <f>(((24*Input!$G$6*($J21/(2.54)^4))/(($B21/25.4)*($F21*0.00571)))^0.5)*25.4/1000</f>
        <v>6.5466555279751377</v>
      </c>
      <c r="T21" s="11">
        <f>((Input!$G$4*($J21/(2.54)^4)*(Input!$G$5))/(17.1*$F21*0.06854))^(1/4)*0.3048</f>
        <v>4.0551342316090038</v>
      </c>
      <c r="U21" s="11">
        <f>(((20*Input!$G$6*($J21/(2.54)^4))/(($B21/25.4)*($F21*0.00571)))^0.5)*25.4/1000</f>
        <v>5.9762515148131268</v>
      </c>
      <c r="V21" s="11">
        <f>((384*Input!$C$4*$J21*Input!$C$5)/(3*$F21*100000))^(1/4)</f>
        <v>4.3022734953885458</v>
      </c>
      <c r="W21" s="11">
        <f>(((200*Input!$C$6*($J21))/($B21*($F21)))^0.5)</f>
        <v>5.9761279010516333</v>
      </c>
      <c r="X21" s="11">
        <f t="shared" si="2"/>
        <v>3.7864813981865968</v>
      </c>
      <c r="Y21" s="26">
        <v>5</v>
      </c>
      <c r="Z21" s="26">
        <v>4.3499999999999996</v>
      </c>
      <c r="AA21" s="26">
        <v>6.9</v>
      </c>
      <c r="AB21" s="32">
        <f>Z21/MIN(L21:W21)</f>
        <v>1.1488238136025917</v>
      </c>
      <c r="AC21" s="32">
        <f t="shared" si="3"/>
        <v>1.3204871420719446</v>
      </c>
      <c r="AD21" s="32">
        <f t="shared" si="4"/>
        <v>0.88306297410663614</v>
      </c>
    </row>
    <row r="22" spans="1:30" x14ac:dyDescent="0.2">
      <c r="A22" s="5">
        <v>2</v>
      </c>
      <c r="B22" s="6">
        <v>60.32</v>
      </c>
      <c r="C22" s="5" t="s">
        <v>9</v>
      </c>
      <c r="D22" s="7">
        <v>5.54</v>
      </c>
      <c r="E22" s="8">
        <v>50</v>
      </c>
      <c r="F22" s="8">
        <f t="shared" si="0"/>
        <v>92.120530629760538</v>
      </c>
      <c r="G22" s="8">
        <f>(3.14*(B22+E22)*E22*Input!C$2/1000000)*9.81</f>
        <v>33.98231088</v>
      </c>
      <c r="H22" s="8">
        <f>((3.14*(B22-2*D22)^2)/4*Input!C$3/1000000)*9.81</f>
        <v>18.671308410960002</v>
      </c>
      <c r="I22" s="8">
        <f>(Input!C$8/1067)*'Bare+Water'!B22</f>
        <v>0.93278350515463926</v>
      </c>
      <c r="J22" s="142">
        <f t="shared" si="1"/>
        <v>36.142804873030677</v>
      </c>
      <c r="K22" s="11">
        <f>(Input!C$9*(Input!C$7+I22)*D22^2)/(0.644*F22*((B22/2)*D22)^0.5)</f>
        <v>270.65355335973754</v>
      </c>
      <c r="L22" s="11">
        <f>((384*Input!$C$4*$J22*Input!$C$5)/(5*$F22*100000))^(1/4)</f>
        <v>4.223501376885654</v>
      </c>
      <c r="M22" s="11">
        <f>((160*Input!$C$6*$J22)/(B22*$F22))^0.5</f>
        <v>5.9484182105148271</v>
      </c>
      <c r="N22" s="11">
        <f>((384*Input!$C$4*$J22*Input!$C$5)/(($F22*100000)))^(1/4)</f>
        <v>6.3156076364121105</v>
      </c>
      <c r="O22" s="11">
        <f>((240*Input!$C$6*$J22)/($B22*$F22))^0.5</f>
        <v>7.285294696220368</v>
      </c>
      <c r="P22" s="11">
        <f>((185*Input!$G$4*($J22/(2.54)^4)*(Input!$G$5))/($F22*0.00571))^(1/4)*25.4/1000</f>
        <v>5.2617445360636514</v>
      </c>
      <c r="Q22" s="11">
        <f>(((16*Input!$G$6*($J22/(2.54)^4))/(($B22/25.4)*($F22*0.00571)))^0.5)*25.4/1000</f>
        <v>5.9485412511127045</v>
      </c>
      <c r="R22" s="11">
        <f>((384*Input!$G$4*($J22/(2.54)^4)*(Input!$G$5))/($F22*0.00571))^(1/4)*25.4/1000</f>
        <v>6.3156729539548353</v>
      </c>
      <c r="S22" s="11">
        <f>(((24*Input!$G$6*($J22/(2.54)^4))/(($B22/25.4)*($F22*0.00571)))^0.5)*25.4/1000</f>
        <v>7.2854453895615903</v>
      </c>
      <c r="T22" s="11">
        <f>((Input!$G$4*($J22/(2.54)^4)*(Input!$G$5))/(17.1*$F22*0.06854))^(1/4)*0.3048</f>
        <v>4.5231610061148313</v>
      </c>
      <c r="U22" s="11">
        <f>(((20*Input!$G$6*($J22/(2.54)^4))/(($B22/25.4)*($F22*0.00571)))^0.5)*25.4/1000</f>
        <v>6.6506713022248256</v>
      </c>
      <c r="V22" s="11">
        <f>((384*Input!$C$4*$J22*Input!$C$5)/(3*$F22*100000))^(1/4)</f>
        <v>4.7988240587196289</v>
      </c>
      <c r="W22" s="11">
        <f>(((200*Input!$C$6*($J22))/($B22*($F22)))^0.5)</f>
        <v>6.6505337386544037</v>
      </c>
      <c r="X22" s="11">
        <f t="shared" si="2"/>
        <v>4.223501376885654</v>
      </c>
      <c r="Y22" s="26">
        <v>6</v>
      </c>
      <c r="Z22" s="26">
        <v>4.8499999999999996</v>
      </c>
      <c r="AA22" s="26">
        <v>7.9</v>
      </c>
      <c r="AB22" s="32">
        <f>Z22/MIN(L22:W22)</f>
        <v>1.1483363132170483</v>
      </c>
      <c r="AC22" s="32">
        <f t="shared" si="3"/>
        <v>1.4206222431551117</v>
      </c>
      <c r="AD22" s="32">
        <f t="shared" si="4"/>
        <v>0.95002735214383793</v>
      </c>
    </row>
    <row r="23" spans="1:30" x14ac:dyDescent="0.2">
      <c r="A23" s="5">
        <v>2.5</v>
      </c>
      <c r="B23" s="6">
        <v>73.02</v>
      </c>
      <c r="C23" s="5" t="s">
        <v>9</v>
      </c>
      <c r="D23" s="7">
        <v>7.01</v>
      </c>
      <c r="E23" s="8">
        <v>50</v>
      </c>
      <c r="F23" s="8">
        <f t="shared" si="0"/>
        <v>138.79766831690532</v>
      </c>
      <c r="G23" s="8">
        <f>(3.14*(B23+E23)*E23*Input!C$2/1000000)*9.81</f>
        <v>37.894342680000001</v>
      </c>
      <c r="H23" s="8">
        <f>((3.14*(B23-2*D23)^2)/4*Input!C$3/1000000)*9.81</f>
        <v>26.806658849999998</v>
      </c>
      <c r="I23" s="8">
        <f>(Input!C$8/1067)*'Bare+Water'!B23</f>
        <v>1.1291752577319587</v>
      </c>
      <c r="J23" s="142">
        <f t="shared" si="1"/>
        <v>80.102184494851457</v>
      </c>
      <c r="K23" s="11">
        <f>(Input!C$9*(Input!C$7+I23)*D23^2)/(0.644*F23*((B23/2)*D23)^0.5)</f>
        <v>232.83825770014877</v>
      </c>
      <c r="L23" s="11">
        <f>((384*Input!$C$4*$J23*Input!$C$5)/(5*$F23*100000))^(1/4)</f>
        <v>4.6512730149685524</v>
      </c>
      <c r="M23" s="11">
        <f>((160*Input!$C$6*$J23)/(B23*$F23))^0.5</f>
        <v>6.5570671367960855</v>
      </c>
      <c r="N23" s="11">
        <f>((384*Input!$C$4*$J23*Input!$C$5)/(($F23*100000)))^(1/4)</f>
        <v>6.9552754340603773</v>
      </c>
      <c r="O23" s="11">
        <f>((240*Input!$C$6*$J23)/($B23*$F23))^0.5</f>
        <v>8.0307343471613368</v>
      </c>
      <c r="P23" s="11">
        <f>((185*Input!$G$4*($J23/(2.54)^4)*(Input!$G$5))/($F23*0.00571))^(1/4)*25.4/1000</f>
        <v>5.794673231596696</v>
      </c>
      <c r="Q23" s="11">
        <f>(((16*Input!$G$6*($J23/(2.54)^4))/(($B23/25.4)*($F23*0.00571)))^0.5)*25.4/1000</f>
        <v>6.5572027670480759</v>
      </c>
      <c r="R23" s="11">
        <f>((384*Input!$G$4*($J23/(2.54)^4)*(Input!$G$5))/($F23*0.00571))^(1/4)*25.4/1000</f>
        <v>6.9553473672022816</v>
      </c>
      <c r="S23" s="11">
        <f>(((24*Input!$G$6*($J23/(2.54)^4))/(($B23/25.4)*($F23*0.00571)))^0.5)*25.4/1000</f>
        <v>8.0309004596168663</v>
      </c>
      <c r="T23" s="11">
        <f>((Input!$G$4*($J23/(2.54)^4)*(Input!$G$5))/(17.1*$F23*0.06854))^(1/4)*0.3048</f>
        <v>4.9812832654060513</v>
      </c>
      <c r="U23" s="11">
        <f>(((20*Input!$G$6*($J23/(2.54)^4))/(($B23/25.4)*($F23*0.00571)))^0.5)*25.4/1000</f>
        <v>7.3311755646846066</v>
      </c>
      <c r="V23" s="11">
        <f>((384*Input!$C$4*$J23*Input!$C$5)/(3*$F23*100000))^(1/4)</f>
        <v>5.2848664783349442</v>
      </c>
      <c r="W23" s="11">
        <f>(((200*Input!$C$6*($J23))/($B23*($F23)))^0.5)</f>
        <v>7.3310239254529801</v>
      </c>
      <c r="X23" s="11">
        <f t="shared" si="2"/>
        <v>4.6512730149685524</v>
      </c>
      <c r="Y23" s="26">
        <v>6.5</v>
      </c>
      <c r="Z23" s="26" t="s">
        <v>6</v>
      </c>
      <c r="AA23" s="26" t="s">
        <v>6</v>
      </c>
      <c r="AB23" s="33" t="s">
        <v>6</v>
      </c>
      <c r="AC23" s="32">
        <f t="shared" si="3"/>
        <v>1.3974668825248364</v>
      </c>
      <c r="AD23" s="32">
        <f t="shared" si="4"/>
        <v>0.93454242921410879</v>
      </c>
    </row>
    <row r="24" spans="1:30" x14ac:dyDescent="0.2">
      <c r="A24" s="9">
        <v>3</v>
      </c>
      <c r="B24" s="6">
        <v>88.9</v>
      </c>
      <c r="C24" s="5" t="s">
        <v>9</v>
      </c>
      <c r="D24" s="7">
        <v>7.62</v>
      </c>
      <c r="E24" s="8">
        <v>100</v>
      </c>
      <c r="F24" s="8">
        <f t="shared" si="0"/>
        <v>191.68062937861967</v>
      </c>
      <c r="G24" s="8">
        <f>(3.14*(B24+E24)*E24*Input!C$2/1000000)*9.81</f>
        <v>116.37524520000004</v>
      </c>
      <c r="H24" s="8">
        <f>((3.14*(B24-2*D24)^2)/4*Input!C$3/1000000)*9.81</f>
        <v>41.783238046260017</v>
      </c>
      <c r="I24" s="8">
        <f>(Input!C$8/1067)*'Bare+Water'!B24</f>
        <v>1.3747422680412373</v>
      </c>
      <c r="J24" s="142">
        <f t="shared" si="1"/>
        <v>162.15605813760931</v>
      </c>
      <c r="K24" s="11">
        <f>(Input!C$9*(Input!C$7+I24)*D24^2)/(0.644*F24*((B24/2)*D24)^0.5)</f>
        <v>173.59493360528856</v>
      </c>
      <c r="L24" s="11">
        <f>((384*Input!$C$4*$J24*Input!$C$5)/(5*$F24*100000))^(1/4)</f>
        <v>5.1179380245252908</v>
      </c>
      <c r="M24" s="11">
        <f>((160*Input!$C$6*$J24)/(B24*$F24))^0.5</f>
        <v>7.1949212569709564</v>
      </c>
      <c r="N24" s="11">
        <f>((384*Input!$C$4*$J24*Input!$C$5)/(($F24*100000)))^(1/4)</f>
        <v>7.6531023873396338</v>
      </c>
      <c r="O24" s="11">
        <f>((240*Input!$C$6*$J24)/($B24*$F24))^0.5</f>
        <v>8.8119429095415036</v>
      </c>
      <c r="P24" s="11">
        <f>((185*Input!$G$4*($J24/(2.54)^4)*(Input!$G$5))/($F24*0.00571))^(1/4)*25.4/1000</f>
        <v>6.3760562702398298</v>
      </c>
      <c r="Q24" s="11">
        <f>(((16*Input!$G$6*($J24/(2.54)^4))/(($B24/25.4)*($F24*0.00571)))^0.5)*25.4/1000</f>
        <v>7.1950700809745483</v>
      </c>
      <c r="R24" s="11">
        <f>((384*Input!$G$4*($J24/(2.54)^4)*(Input!$G$5))/($F24*0.00571))^(1/4)*25.4/1000</f>
        <v>7.6531815375767813</v>
      </c>
      <c r="S24" s="11">
        <f>(((24*Input!$G$6*($J24/(2.54)^4))/(($B24/25.4)*($F24*0.00571)))^0.5)*25.4/1000</f>
        <v>8.8121251809766434</v>
      </c>
      <c r="T24" s="11">
        <f>((Input!$G$4*($J24/(2.54)^4)*(Input!$G$5))/(17.1*$F24*0.06854))^(1/4)*0.3048</f>
        <v>5.4810584011967531</v>
      </c>
      <c r="U24" s="11">
        <f>(((20*Input!$G$6*($J24/(2.54)^4))/(($B24/25.4)*($F24*0.00571)))^0.5)*25.4/1000</f>
        <v>8.0443329019670049</v>
      </c>
      <c r="V24" s="11">
        <f>((384*Input!$C$4*$J24*Input!$C$5)/(3*$F24*100000))^(1/4)</f>
        <v>5.8151002998460513</v>
      </c>
      <c r="W24" s="11">
        <f>(((200*Input!$C$6*($J24))/($B24*($F24)))^0.5)</f>
        <v>8.0441665116726444</v>
      </c>
      <c r="X24" s="11">
        <f t="shared" si="2"/>
        <v>5.1179380245252908</v>
      </c>
      <c r="Y24" s="26">
        <v>7</v>
      </c>
      <c r="Z24" s="26">
        <v>5.85</v>
      </c>
      <c r="AA24" s="26">
        <v>9.5</v>
      </c>
      <c r="AB24" s="32">
        <f t="shared" ref="AB24:AB37" si="6">Z24/MIN(L24:W24)</f>
        <v>1.1430384604046882</v>
      </c>
      <c r="AC24" s="32">
        <f t="shared" si="3"/>
        <v>1.3677383286893705</v>
      </c>
      <c r="AD24" s="32">
        <f t="shared" si="4"/>
        <v>0.91466174705567149</v>
      </c>
    </row>
    <row r="25" spans="1:30" x14ac:dyDescent="0.2">
      <c r="A25" s="9">
        <v>4</v>
      </c>
      <c r="B25" s="6">
        <v>114.3</v>
      </c>
      <c r="C25" s="5" t="s">
        <v>9</v>
      </c>
      <c r="D25" s="7">
        <v>8.56</v>
      </c>
      <c r="E25" s="8">
        <v>100</v>
      </c>
      <c r="F25" s="8">
        <f t="shared" si="0"/>
        <v>291.78918262751478</v>
      </c>
      <c r="G25" s="8">
        <f>(3.14*(B25+E25)*E25*Input!C$2/1000000)*9.81</f>
        <v>132.02337240000003</v>
      </c>
      <c r="H25" s="8">
        <f>((3.14*(B25-2*D25)^2)/4*Input!C$3/1000000)*9.81</f>
        <v>72.726460839539996</v>
      </c>
      <c r="I25" s="8">
        <f>(Input!C$8/1067)*'Bare+Water'!B25</f>
        <v>1.7675257731958762</v>
      </c>
      <c r="J25" s="142">
        <f t="shared" si="1"/>
        <v>400.17990346454081</v>
      </c>
      <c r="K25" s="11">
        <f>(Input!C$9*(Input!C$7+I25)*D25^2)/(0.644*F25*((B25/2)*D25)^0.5)</f>
        <v>120.20748016157982</v>
      </c>
      <c r="L25" s="11">
        <f>((384*Input!$C$4*$J25*Input!$C$5)/(5*$F25*100000))^(1/4)</f>
        <v>5.7750108761318595</v>
      </c>
      <c r="M25" s="11">
        <f>((160*Input!$C$6*$J25)/(B25*$F25))^0.5</f>
        <v>8.0792189620375598</v>
      </c>
      <c r="N25" s="11">
        <f>((384*Input!$C$4*$J25*Input!$C$5)/(($F25*100000)))^(1/4)</f>
        <v>8.6356554751630696</v>
      </c>
      <c r="O25" s="11">
        <f>((240*Input!$C$6*$J25)/($B25*$F25))^0.5</f>
        <v>9.8949819886051777</v>
      </c>
      <c r="P25" s="11">
        <f>((185*Input!$G$4*($J25/(2.54)^4)*(Input!$G$5))/($F25*0.00571))^(1/4)*25.4/1000</f>
        <v>7.1946542007763243</v>
      </c>
      <c r="Q25" s="11">
        <f>(((16*Input!$G$6*($J25/(2.54)^4))/(($B25/25.4)*($F25*0.00571)))^0.5)*25.4/1000</f>
        <v>8.0793860773775172</v>
      </c>
      <c r="R25" s="11">
        <f>((384*Input!$G$4*($J25/(2.54)^4)*(Input!$G$5))/($F25*0.00571))^(1/4)*25.4/1000</f>
        <v>8.6357447872020554</v>
      </c>
      <c r="S25" s="11">
        <f>(((24*Input!$G$6*($J25/(2.54)^4))/(($B25/25.4)*($F25*0.00571)))^0.5)*25.4/1000</f>
        <v>9.8951866622607234</v>
      </c>
      <c r="T25" s="11">
        <f>((Input!$G$4*($J25/(2.54)^4)*(Input!$G$5))/(17.1*$F25*0.06854))^(1/4)*0.3048</f>
        <v>6.1847509149079833</v>
      </c>
      <c r="U25" s="11">
        <f>(((20*Input!$G$6*($J25/(2.54)^4))/(($B25/25.4)*($F25*0.00571)))^0.5)*25.4/1000</f>
        <v>9.0330282427407536</v>
      </c>
      <c r="V25" s="11">
        <f>((384*Input!$C$4*$J25*Input!$C$5)/(3*$F25*100000))^(1/4)</f>
        <v>6.5616791990214605</v>
      </c>
      <c r="W25" s="11">
        <f>(((200*Input!$C$6*($J25))/($B25*($F25)))^0.5)</f>
        <v>9.0328414021106376</v>
      </c>
      <c r="X25" s="11">
        <f t="shared" si="2"/>
        <v>5.7750108761318595</v>
      </c>
      <c r="Y25" s="26">
        <v>8</v>
      </c>
      <c r="Z25" s="26">
        <v>6.6</v>
      </c>
      <c r="AA25" s="26"/>
      <c r="AB25" s="32">
        <f t="shared" si="6"/>
        <v>1.1428549905036236</v>
      </c>
      <c r="AC25" s="32">
        <f t="shared" si="3"/>
        <v>1.3852787763680288</v>
      </c>
      <c r="AD25" s="32">
        <f t="shared" si="4"/>
        <v>0.92639175138572016</v>
      </c>
    </row>
    <row r="26" spans="1:30" x14ac:dyDescent="0.2">
      <c r="A26" s="9">
        <v>6</v>
      </c>
      <c r="B26" s="6">
        <v>168.27</v>
      </c>
      <c r="C26" s="5" t="s">
        <v>9</v>
      </c>
      <c r="D26" s="7">
        <v>10.97</v>
      </c>
      <c r="E26" s="8">
        <v>100</v>
      </c>
      <c r="F26" s="8">
        <f t="shared" si="0"/>
        <v>582.52331739788281</v>
      </c>
      <c r="G26" s="8">
        <f>(3.14*(B26+E26)*E26*Input!C$2/1000000)*9.81</f>
        <v>165.27256236000002</v>
      </c>
      <c r="H26" s="8">
        <f>((3.14*(B26-2*D26)^2)/4*Input!C$3/1000000)*9.81</f>
        <v>164.89421112856505</v>
      </c>
      <c r="I26" s="8">
        <f>(Input!C$8/1067)*'Bare+Water'!B26</f>
        <v>2.6021134020618559</v>
      </c>
      <c r="J26" s="142">
        <f t="shared" si="1"/>
        <v>1685.4918533955984</v>
      </c>
      <c r="K26" s="11">
        <f>(Input!C$9*(Input!C$7+I26)*D26^2)/(0.644*F26*((B26/2)*D26)^0.5)</f>
        <v>72.586109502921204</v>
      </c>
      <c r="L26" s="11">
        <f>((384*Input!$C$4*$J26*Input!$C$5)/(5*$F26*100000))^(1/4)</f>
        <v>6.9600061036734013</v>
      </c>
      <c r="M26" s="11">
        <f>((160*Input!$C$6*$J26)/(B26*$F26))^0.5</f>
        <v>9.6716990499901137</v>
      </c>
      <c r="N26" s="11">
        <f>((384*Input!$C$4*$J26*Input!$C$5)/(($F26*100000)))^(1/4)</f>
        <v>10.407636644420279</v>
      </c>
      <c r="O26" s="11">
        <f>((240*Input!$C$6*$J26)/($B26*$F26))^0.5</f>
        <v>11.845363809118297</v>
      </c>
      <c r="P26" s="11">
        <f>((185*Input!$G$4*($J26/(2.54)^4)*(Input!$G$5))/($F26*0.00571))^(1/4)*25.4/1000</f>
        <v>8.6709511419592573</v>
      </c>
      <c r="Q26" s="11">
        <f>(((16*Input!$G$6*($J26/(2.54)^4))/(($B26/25.4)*($F26*0.00571)))^0.5)*25.4/1000</f>
        <v>9.671899105129393</v>
      </c>
      <c r="R26" s="11">
        <f>((384*Input!$G$4*($J26/(2.54)^4)*(Input!$G$5))/($F26*0.00571))^(1/4)*25.4/1000</f>
        <v>10.407744282717379</v>
      </c>
      <c r="S26" s="11">
        <f>(((24*Input!$G$6*($J26/(2.54)^4))/(($B26/25.4)*($F26*0.00571)))^0.5)*25.4/1000</f>
        <v>11.845608825624124</v>
      </c>
      <c r="T26" s="11">
        <f>((Input!$G$4*($J26/(2.54)^4)*(Input!$G$5))/(17.1*$F26*0.06854))^(1/4)*0.3048</f>
        <v>7.4538221729361744</v>
      </c>
      <c r="U26" s="11">
        <f>(((20*Input!$G$6*($J26/(2.54)^4))/(($B26/25.4)*($F26*0.00571)))^0.5)*25.4/1000</f>
        <v>10.813511935294352</v>
      </c>
      <c r="V26" s="11">
        <f>((384*Input!$C$4*$J26*Input!$C$5)/(3*$F26*100000))^(1/4)</f>
        <v>7.9080937257257204</v>
      </c>
      <c r="W26" s="11">
        <f>(((200*Input!$C$6*($J26))/($B26*($F26)))^0.5)</f>
        <v>10.813288266849016</v>
      </c>
      <c r="X26" s="11">
        <f t="shared" si="2"/>
        <v>6.9600061036734013</v>
      </c>
      <c r="Y26" s="26">
        <v>9.5</v>
      </c>
      <c r="Z26" s="26">
        <v>7.85</v>
      </c>
      <c r="AA26" s="26"/>
      <c r="AB26" s="32">
        <f t="shared" si="6"/>
        <v>1.1278725741141047</v>
      </c>
      <c r="AC26" s="32">
        <f t="shared" si="3"/>
        <v>1.3649413317304453</v>
      </c>
      <c r="AD26" s="32">
        <f t="shared" si="4"/>
        <v>0.91279128245634134</v>
      </c>
    </row>
    <row r="27" spans="1:30" x14ac:dyDescent="0.2">
      <c r="A27" s="9">
        <v>8</v>
      </c>
      <c r="B27" s="6">
        <v>219.07</v>
      </c>
      <c r="C27" s="10" t="s">
        <v>10</v>
      </c>
      <c r="D27" s="8">
        <v>12.7</v>
      </c>
      <c r="E27" s="8">
        <v>120</v>
      </c>
      <c r="F27" s="8">
        <f t="shared" si="0"/>
        <v>923.16005260467114</v>
      </c>
      <c r="G27" s="8">
        <f>(3.14*(B27+E27)*E27*Input!C$2/1000000)*9.81</f>
        <v>250.66821211200005</v>
      </c>
      <c r="H27" s="8">
        <f>((3.14*(B27-2*D27)^2)/4*Input!C$3/1000000)*9.81</f>
        <v>288.84401238856503</v>
      </c>
      <c r="I27" s="8">
        <f>(Input!C$8/1067)*'Bare+Water'!B27</f>
        <v>3.3876804123711342</v>
      </c>
      <c r="J27" s="142">
        <f t="shared" si="1"/>
        <v>4401.6125316967582</v>
      </c>
      <c r="K27" s="11">
        <f>(Input!C$9*(Input!C$7+I27)*D27^2)/(0.644*F27*((B27/2)*D27)^0.5)</f>
        <v>50.38599612509141</v>
      </c>
      <c r="L27" s="11">
        <f>((384*Input!$C$4*$J27*Input!$C$5)/(5*$F27*100000))^(1/4)</f>
        <v>7.8856951915104183</v>
      </c>
      <c r="M27" s="11">
        <f>((160*Input!$C$6*$J27)/(B27*$F27))^0.5</f>
        <v>10.881165074001066</v>
      </c>
      <c r="N27" s="11">
        <f>((384*Input!$C$4*$J27*Input!$C$5)/(($F27*100000)))^(1/4)</f>
        <v>11.791864693707147</v>
      </c>
      <c r="O27" s="11">
        <f>((240*Input!$C$6*$J27)/($B27*$F27))^0.5</f>
        <v>13.326651119148087</v>
      </c>
      <c r="P27" s="11">
        <f>((185*Input!$G$4*($J27/(2.54)^4)*(Input!$G$5))/($F27*0.00571))^(1/4)*25.4/1000</f>
        <v>9.8241979543497404</v>
      </c>
      <c r="Q27" s="11">
        <f>(((16*Input!$G$6*($J27/(2.54)^4))/(($B27/25.4)*($F27*0.00571)))^0.5)*25.4/1000</f>
        <v>10.881390146450402</v>
      </c>
      <c r="R27" s="11">
        <f>((384*Input!$G$4*($J27/(2.54)^4)*(Input!$G$5))/($F27*0.00571))^(1/4)*25.4/1000</f>
        <v>11.791986648025759</v>
      </c>
      <c r="S27" s="11">
        <f>(((24*Input!$G$6*($J27/(2.54)^4))/(($B27/25.4)*($F27*0.00571)))^0.5)*25.4/1000</f>
        <v>13.3269267754761</v>
      </c>
      <c r="T27" s="11">
        <f>((Input!$G$4*($J27/(2.54)^4)*(Input!$G$5))/(17.1*$F27*0.06854))^(1/4)*0.3048</f>
        <v>8.4451893851751016</v>
      </c>
      <c r="U27" s="11">
        <f>(((20*Input!$G$6*($J27/(2.54)^4))/(($B27/25.4)*($F27*0.00571)))^0.5)*25.4/1000</f>
        <v>12.165764028579744</v>
      </c>
      <c r="V27" s="11">
        <f>((384*Input!$C$4*$J27*Input!$C$5)/(3*$F27*100000))^(1/4)</f>
        <v>8.9598795946537777</v>
      </c>
      <c r="W27" s="11">
        <f>(((200*Input!$C$6*($J27))/($B27*($F27)))^0.5)</f>
        <v>12.165512389931456</v>
      </c>
      <c r="X27" s="11">
        <f t="shared" si="2"/>
        <v>7.8856951915104183</v>
      </c>
      <c r="Y27" s="26">
        <v>11</v>
      </c>
      <c r="Z27" s="26">
        <v>8.6</v>
      </c>
      <c r="AA27" s="26"/>
      <c r="AB27" s="32">
        <f t="shared" si="6"/>
        <v>1.0905823508444237</v>
      </c>
      <c r="AC27" s="32">
        <f t="shared" si="3"/>
        <v>1.3949309138707746</v>
      </c>
      <c r="AD27" s="32">
        <f t="shared" si="4"/>
        <v>0.93284652476298047</v>
      </c>
    </row>
    <row r="28" spans="1:30" x14ac:dyDescent="0.2">
      <c r="A28" s="9">
        <v>10</v>
      </c>
      <c r="B28" s="6">
        <v>273.05</v>
      </c>
      <c r="C28" s="10" t="s">
        <v>10</v>
      </c>
      <c r="D28" s="8">
        <v>12.7</v>
      </c>
      <c r="E28" s="8">
        <v>120</v>
      </c>
      <c r="F28" s="8">
        <f t="shared" si="0"/>
        <v>1272.5306235465659</v>
      </c>
      <c r="G28" s="8">
        <f>(3.14*(B28+E28)*E28*Input!C$2/1000000)*9.81</f>
        <v>290.57463288000002</v>
      </c>
      <c r="H28" s="8">
        <f>((3.14*(B28-2*D28)^2)/4*Input!C$3/1000000)*9.81</f>
        <v>472.29715419412514</v>
      </c>
      <c r="I28" s="8">
        <f>(Input!C$8/1067)*'Bare+Water'!B28</f>
        <v>4.2224226804123717</v>
      </c>
      <c r="J28" s="142">
        <f t="shared" si="1"/>
        <v>8825.4206848138547</v>
      </c>
      <c r="K28" s="11">
        <f>(Input!C$9*(Input!C$7+I28)*D28^2)/(0.644*F28*((B28/2)*D28)^0.5)</f>
        <v>33.005122269102145</v>
      </c>
      <c r="L28" s="11">
        <f>((384*Input!$C$4*$J28*Input!$C$5)/(5*$F28*100000))^(1/4)</f>
        <v>8.660103411141904</v>
      </c>
      <c r="M28" s="11">
        <f>((160*Input!$C$6*$J28)/(B28*$F28))^0.5</f>
        <v>11.754710735401403</v>
      </c>
      <c r="N28" s="11">
        <f>((384*Input!$C$4*$J28*Input!$C$5)/(($F28*100000)))^(1/4)</f>
        <v>12.949875081100783</v>
      </c>
      <c r="O28" s="11">
        <f>((240*Input!$C$6*$J28)/($B28*$F28))^0.5</f>
        <v>14.396521687874523</v>
      </c>
      <c r="P28" s="11">
        <f>((185*Input!$G$4*($J28/(2.54)^4)*(Input!$G$5))/($F28*0.00571))^(1/4)*25.4/1000</f>
        <v>10.788975245681748</v>
      </c>
      <c r="Q28" s="11">
        <f>(((16*Input!$G$6*($J28/(2.54)^4))/(($B28/25.4)*($F28*0.00571)))^0.5)*25.4/1000</f>
        <v>11.754953876785477</v>
      </c>
      <c r="R28" s="11">
        <f>((384*Input!$G$4*($J28/(2.54)^4)*(Input!$G$5))/($F28*0.00571))^(1/4)*25.4/1000</f>
        <v>12.950009011843091</v>
      </c>
      <c r="S28" s="11">
        <f>(((24*Input!$G$6*($J28/(2.54)^4))/(($B28/25.4)*($F28*0.00571)))^0.5)*25.4/1000</f>
        <v>14.396819474037688</v>
      </c>
      <c r="T28" s="11">
        <f>((Input!$G$4*($J28/(2.54)^4)*(Input!$G$5))/(17.1*$F28*0.06854))^(1/4)*0.3048</f>
        <v>9.2745422725736688</v>
      </c>
      <c r="U28" s="11">
        <f>(((20*Input!$G$6*($J28/(2.54)^4))/(($B28/25.4)*($F28*0.00571)))^0.5)*25.4/1000</f>
        <v>13.142437970433507</v>
      </c>
      <c r="V28" s="11">
        <f>((384*Input!$C$4*$J28*Input!$C$5)/(3*$F28*100000))^(1/4)</f>
        <v>9.8397772113506878</v>
      </c>
      <c r="W28" s="11">
        <f>(((200*Input!$C$6*($J28))/($B28*($F28)))^0.5)</f>
        <v>13.142166130102042</v>
      </c>
      <c r="X28" s="11">
        <f t="shared" si="2"/>
        <v>8.660103411141904</v>
      </c>
      <c r="Y28" s="26">
        <v>12</v>
      </c>
      <c r="Z28" s="26">
        <v>9.35</v>
      </c>
      <c r="AA28" s="26"/>
      <c r="AB28" s="32">
        <f t="shared" si="6"/>
        <v>1.0796637818401209</v>
      </c>
      <c r="AC28" s="32">
        <f t="shared" si="3"/>
        <v>1.3856647467466794</v>
      </c>
      <c r="AD28" s="32">
        <f t="shared" si="4"/>
        <v>0.92664986533445071</v>
      </c>
    </row>
    <row r="29" spans="1:30" x14ac:dyDescent="0.2">
      <c r="A29" s="9">
        <v>12</v>
      </c>
      <c r="B29" s="6">
        <v>323.85000000000002</v>
      </c>
      <c r="C29" s="10" t="s">
        <v>10</v>
      </c>
      <c r="D29" s="8">
        <v>12.7</v>
      </c>
      <c r="E29" s="8">
        <v>120</v>
      </c>
      <c r="F29" s="8">
        <f t="shared" si="0"/>
        <v>1642.3097961157732</v>
      </c>
      <c r="G29" s="8">
        <f>(3.14*(B29+E29)*E29*Input!C$2/1000000)*9.81</f>
        <v>328.13013816000006</v>
      </c>
      <c r="H29" s="8">
        <f>((3.14*(B29-2*D29)^2)/4*Input!C$3/1000000)*9.81</f>
        <v>685.93321079212524</v>
      </c>
      <c r="I29" s="8">
        <f>(Input!C$8/1067)*'Bare+Water'!B29</f>
        <v>5.0079896907216499</v>
      </c>
      <c r="J29" s="142">
        <f t="shared" si="1"/>
        <v>15054.377948930842</v>
      </c>
      <c r="K29" s="11">
        <f>(Input!C$9*(Input!C$7+I29)*D29^2)/(0.644*F29*((B29/2)*D29)^0.5)</f>
        <v>23.659459818422434</v>
      </c>
      <c r="L29" s="11">
        <f>((384*Input!$C$4*$J29*Input!$C$5)/(5*$F29*100000))^(1/4)</f>
        <v>9.2855624988646035</v>
      </c>
      <c r="M29" s="11">
        <f>((160*Input!$C$6*$J29)/(B29*$F29))^0.5</f>
        <v>12.408845148600816</v>
      </c>
      <c r="N29" s="11">
        <f>((384*Input!$C$4*$J29*Input!$C$5)/(($F29*100000)))^(1/4)</f>
        <v>13.885154565630661</v>
      </c>
      <c r="O29" s="11">
        <f>((240*Input!$C$6*$J29)/($B29*$F29))^0.5</f>
        <v>15.19766945564125</v>
      </c>
      <c r="P29" s="11">
        <f>((185*Input!$G$4*($J29/(2.54)^4)*(Input!$G$5))/($F29*0.00571))^(1/4)*25.4/1000</f>
        <v>11.568187951842384</v>
      </c>
      <c r="Q29" s="11">
        <f>(((16*Input!$G$6*($J29/(2.54)^4))/(($B29/25.4)*($F29*0.00571)))^0.5)*25.4/1000</f>
        <v>12.409101820487697</v>
      </c>
      <c r="R29" s="11">
        <f>((384*Input!$G$4*($J29/(2.54)^4)*(Input!$G$5))/($F29*0.00571))^(1/4)*25.4/1000</f>
        <v>13.885298169259753</v>
      </c>
      <c r="S29" s="11">
        <f>(((24*Input!$G$6*($J29/(2.54)^4))/(($B29/25.4)*($F29*0.00571)))^0.5)*25.4/1000</f>
        <v>15.197983813218338</v>
      </c>
      <c r="T29" s="11">
        <f>((Input!$G$4*($J29/(2.54)^4)*(Input!$G$5))/(17.1*$F29*0.06854))^(1/4)*0.3048</f>
        <v>9.9443780093370773</v>
      </c>
      <c r="U29" s="11">
        <f>(((20*Input!$G$6*($J29/(2.54)^4))/(($B29/25.4)*($F29*0.00571)))^0.5)*25.4/1000</f>
        <v>13.873797605163439</v>
      </c>
      <c r="V29" s="11">
        <f>((384*Input!$C$4*$J29*Input!$C$5)/(3*$F29*100000))^(1/4)</f>
        <v>10.55043593975431</v>
      </c>
      <c r="W29" s="11">
        <f>(((200*Input!$C$6*($J29))/($B29*($F29)))^0.5)</f>
        <v>13.873510637269952</v>
      </c>
      <c r="X29" s="11">
        <f t="shared" si="2"/>
        <v>9.2855624988646035</v>
      </c>
      <c r="Y29" s="26">
        <v>13</v>
      </c>
      <c r="Z29" s="26">
        <v>9.9</v>
      </c>
      <c r="AA29" s="26"/>
      <c r="AB29" s="32">
        <f t="shared" si="6"/>
        <v>1.0661712740838831</v>
      </c>
      <c r="AC29" s="32">
        <f t="shared" si="3"/>
        <v>1.4000228851606547</v>
      </c>
      <c r="AD29" s="32">
        <f t="shared" si="4"/>
        <v>0.93625173119630611</v>
      </c>
    </row>
    <row r="30" spans="1:30" x14ac:dyDescent="0.2">
      <c r="A30" s="9">
        <v>14</v>
      </c>
      <c r="B30" s="6">
        <v>355.6</v>
      </c>
      <c r="C30" s="10" t="s">
        <v>10</v>
      </c>
      <c r="D30" s="8">
        <v>12.7</v>
      </c>
      <c r="E30" s="8">
        <v>120</v>
      </c>
      <c r="F30" s="8">
        <f t="shared" si="0"/>
        <v>1893.6054180396529</v>
      </c>
      <c r="G30" s="8">
        <f>(3.14*(B30+E30)*E30*Input!C$2/1000000)*9.81</f>
        <v>351.60232896000002</v>
      </c>
      <c r="H30" s="8">
        <f>((3.14*(B30-2*D30)^2)/4*Input!C$3/1000000)*9.81</f>
        <v>839.63938523400043</v>
      </c>
      <c r="I30" s="8">
        <f>(Input!C$8/1067)*'Bare+Water'!B30</f>
        <v>5.4989690721649493</v>
      </c>
      <c r="J30" s="142">
        <f t="shared" si="1"/>
        <v>20143.190758941117</v>
      </c>
      <c r="K30" s="11">
        <f>(Input!C$9*(Input!C$7+I30)*D30^2)/(0.644*F30*((B30/2)*D30)^0.5)</f>
        <v>19.673759888997125</v>
      </c>
      <c r="L30" s="11">
        <f>((384*Input!$C$4*$J30*Input!$C$5)/(5*$F30*100000))^(1/4)</f>
        <v>9.6375352398459366</v>
      </c>
      <c r="M30" s="11">
        <f>((160*Input!$C$6*$J30)/(B30*$F30))^0.5</f>
        <v>12.756688849931914</v>
      </c>
      <c r="N30" s="11">
        <f>((384*Input!$C$4*$J30*Input!$C$5)/(($F30*100000)))^(1/4)</f>
        <v>14.411476574880188</v>
      </c>
      <c r="O30" s="11">
        <f>((240*Input!$C$6*$J30)/($B30*$F30))^0.5</f>
        <v>15.623689244892379</v>
      </c>
      <c r="P30" s="11">
        <f>((185*Input!$G$4*($J30/(2.54)^4)*(Input!$G$5))/($F30*0.00571))^(1/4)*25.4/1000</f>
        <v>12.006684469645702</v>
      </c>
      <c r="Q30" s="11">
        <f>(((16*Input!$G$6*($J30/(2.54)^4))/(($B30/25.4)*($F30*0.00571)))^0.5)*25.4/1000</f>
        <v>12.756952716823493</v>
      </c>
      <c r="R30" s="11">
        <f>((384*Input!$G$4*($J30/(2.54)^4)*(Input!$G$5))/($F30*0.00571))^(1/4)*25.4/1000</f>
        <v>14.411625621858885</v>
      </c>
      <c r="S30" s="11">
        <f>(((24*Input!$G$6*($J30/(2.54)^4))/(($B30/25.4)*($F30*0.00571)))^0.5)*25.4/1000</f>
        <v>15.624012414514571</v>
      </c>
      <c r="T30" s="11">
        <f>((Input!$G$4*($J30/(2.54)^4)*(Input!$G$5))/(17.1*$F30*0.06854))^(1/4)*0.3048</f>
        <v>10.321323400176766</v>
      </c>
      <c r="U30" s="11">
        <f>(((20*Input!$G$6*($J30/(2.54)^4))/(($B30/25.4)*($F30*0.00571)))^0.5)*25.4/1000</f>
        <v>14.262706730283979</v>
      </c>
      <c r="V30" s="11">
        <f>((384*Input!$C$4*$J30*Input!$C$5)/(3*$F30*100000))^(1/4)</f>
        <v>10.950354184525949</v>
      </c>
      <c r="W30" s="11">
        <f>(((200*Input!$C$6*($J30))/($B30*($F30)))^0.5)</f>
        <v>14.262411718130686</v>
      </c>
      <c r="X30" s="11">
        <f t="shared" si="2"/>
        <v>9.6375352398459366</v>
      </c>
      <c r="Y30" s="26">
        <v>13.5</v>
      </c>
      <c r="Z30" s="26">
        <v>10.6</v>
      </c>
      <c r="AA30" s="26"/>
      <c r="AB30" s="32">
        <f t="shared" si="6"/>
        <v>1.0998662766154979</v>
      </c>
      <c r="AC30" s="32">
        <f t="shared" si="3"/>
        <v>1.4007730881423794</v>
      </c>
      <c r="AD30" s="32">
        <f t="shared" si="4"/>
        <v>0.93675342216709911</v>
      </c>
    </row>
    <row r="31" spans="1:30" x14ac:dyDescent="0.2">
      <c r="A31" s="9">
        <v>16</v>
      </c>
      <c r="B31" s="6">
        <v>406.4</v>
      </c>
      <c r="C31" s="10" t="s">
        <v>10</v>
      </c>
      <c r="D31" s="8">
        <v>12.7</v>
      </c>
      <c r="E31" s="8">
        <v>120</v>
      </c>
      <c r="F31" s="8">
        <f t="shared" si="0"/>
        <v>2327.9722356268617</v>
      </c>
      <c r="G31" s="8">
        <f>(3.14*(B31+E31)*E31*Input!C$2/1000000)*9.81</f>
        <v>389.15783424000006</v>
      </c>
      <c r="H31" s="8">
        <f>((3.14*(B31-2*D31)^2)/4*Input!C$3/1000000)*9.81</f>
        <v>1117.8630868500002</v>
      </c>
      <c r="I31" s="8">
        <f>(Input!C$8/1067)*'Bare+Water'!B31</f>
        <v>6.2845360824742267</v>
      </c>
      <c r="J31" s="142">
        <f t="shared" si="1"/>
        <v>30477.434541508992</v>
      </c>
      <c r="K31" s="11">
        <f>(Input!C$9*(Input!C$7+I31)*D31^2)/(0.644*F31*((B31/2)*D31)^0.5)</f>
        <v>15.080819771100849</v>
      </c>
      <c r="L31" s="11">
        <f>((384*Input!$C$4*$J31*Input!$C$5)/(5*$F31*100000))^(1/4)</f>
        <v>10.150944124969133</v>
      </c>
      <c r="M31" s="11">
        <f>((160*Input!$C$6*$J31)/(B31*$F31))^0.5</f>
        <v>13.238016119668981</v>
      </c>
      <c r="N31" s="11">
        <f>((384*Input!$C$4*$J31*Input!$C$5)/(($F31*100000)))^(1/4)</f>
        <v>15.179201925517306</v>
      </c>
      <c r="O31" s="11">
        <f>((240*Input!$C$6*$J31)/($B31*$F31))^0.5</f>
        <v>16.213192349963766</v>
      </c>
      <c r="P31" s="11">
        <f>((185*Input!$G$4*($J31/(2.54)^4)*(Input!$G$5))/($F31*0.00571))^(1/4)*25.4/1000</f>
        <v>12.646302207394731</v>
      </c>
      <c r="Q31" s="11">
        <f>(((16*Input!$G$6*($J31/(2.54)^4))/(($B31/25.4)*($F31*0.00571)))^0.5)*25.4/1000</f>
        <v>13.238289942618279</v>
      </c>
      <c r="R31" s="11">
        <f>((384*Input!$G$4*($J31/(2.54)^4)*(Input!$G$5))/($F31*0.00571))^(1/4)*25.4/1000</f>
        <v>15.179358912497388</v>
      </c>
      <c r="S31" s="11">
        <f>(((24*Input!$G$6*($J31/(2.54)^4))/(($B31/25.4)*($F31*0.00571)))^0.5)*25.4/1000</f>
        <v>16.213527713216592</v>
      </c>
      <c r="T31" s="11">
        <f>((Input!$G$4*($J31/(2.54)^4)*(Input!$G$5))/(17.1*$F31*0.06854))^(1/4)*0.3048</f>
        <v>10.871158913926379</v>
      </c>
      <c r="U31" s="11">
        <f>(((20*Input!$G$6*($J31/(2.54)^4))/(($B31/25.4)*($F31*0.00571)))^0.5)*25.4/1000</f>
        <v>14.800858108773133</v>
      </c>
      <c r="V31" s="11">
        <f>((384*Input!$C$4*$J31*Input!$C$5)/(3*$F31*100000))^(1/4)</f>
        <v>11.533699302719418</v>
      </c>
      <c r="W31" s="11">
        <f>(((200*Input!$C$6*($J31))/($B31*($F31)))^0.5)</f>
        <v>14.800551965408914</v>
      </c>
      <c r="X31" s="11">
        <f t="shared" si="2"/>
        <v>10.150944124969133</v>
      </c>
      <c r="Y31" s="26">
        <v>14</v>
      </c>
      <c r="Z31" s="26">
        <v>11.1</v>
      </c>
      <c r="AA31" s="26"/>
      <c r="AB31" s="32">
        <f t="shared" si="6"/>
        <v>1.0934943452891632</v>
      </c>
      <c r="AC31" s="32">
        <f t="shared" si="3"/>
        <v>1.3791820571214672</v>
      </c>
      <c r="AD31" s="32">
        <f t="shared" si="4"/>
        <v>0.92231462949741883</v>
      </c>
    </row>
    <row r="32" spans="1:30" x14ac:dyDescent="0.2">
      <c r="A32" s="9">
        <v>18</v>
      </c>
      <c r="B32" s="6">
        <v>457.2</v>
      </c>
      <c r="C32" s="10" t="s">
        <v>10</v>
      </c>
      <c r="D32" s="8">
        <v>12.7</v>
      </c>
      <c r="E32" s="8">
        <v>120</v>
      </c>
      <c r="F32" s="8">
        <f t="shared" si="0"/>
        <v>2802.0852963020684</v>
      </c>
      <c r="G32" s="8">
        <f>(3.14*(B32+E32)*E32*Input!C$2/1000000)*9.81</f>
        <v>426.71333952000003</v>
      </c>
      <c r="H32" s="8">
        <f>((3.14*(B32-2*D32)^2)/4*Input!C$3/1000000)*9.81</f>
        <v>1435.8330315540002</v>
      </c>
      <c r="I32" s="8">
        <f>(Input!C$8/1067)*'Bare+Water'!B32</f>
        <v>7.0701030927835049</v>
      </c>
      <c r="J32" s="142">
        <f t="shared" si="1"/>
        <v>43853.085513250306</v>
      </c>
      <c r="K32" s="11">
        <f>(Input!C$9*(Input!C$7+I32)*D32^2)/(0.644*F32*((B32/2)*D32)^0.5)</f>
        <v>11.899898946064315</v>
      </c>
      <c r="L32" s="11">
        <f>((384*Input!$C$4*$J32*Input!$C$5)/(5*$F32*100000))^(1/4)</f>
        <v>10.61416869405074</v>
      </c>
      <c r="M32" s="11">
        <f>((160*Input!$C$6*$J32)/(B32*$F32))^0.5</f>
        <v>13.646011762824381</v>
      </c>
      <c r="N32" s="11">
        <f>((384*Input!$C$4*$J32*Input!$C$5)/(($F32*100000)))^(1/4)</f>
        <v>15.871884220325205</v>
      </c>
      <c r="O32" s="11">
        <f>((240*Input!$C$6*$J32)/($B32*$F32))^0.5</f>
        <v>16.712882921468459</v>
      </c>
      <c r="P32" s="11">
        <f>((185*Input!$G$4*($J32/(2.54)^4)*(Input!$G$5))/($F32*0.00571))^(1/4)*25.4/1000</f>
        <v>13.223399058522753</v>
      </c>
      <c r="Q32" s="11">
        <f>(((16*Input!$G$6*($J32/(2.54)^4))/(($B32/25.4)*($F32*0.00571)))^0.5)*25.4/1000</f>
        <v>13.646294024996696</v>
      </c>
      <c r="R32" s="11">
        <f>((384*Input!$G$4*($J32/(2.54)^4)*(Input!$G$5))/($F32*0.00571))^(1/4)*25.4/1000</f>
        <v>15.872048371193234</v>
      </c>
      <c r="S32" s="11">
        <f>(((24*Input!$G$6*($J32/(2.54)^4))/(($B32/25.4)*($F32*0.00571)))^0.5)*25.4/1000</f>
        <v>16.713228620616388</v>
      </c>
      <c r="T32" s="11">
        <f>((Input!$G$4*($J32/(2.54)^4)*(Input!$G$5))/(17.1*$F32*0.06854))^(1/4)*0.3048</f>
        <v>11.367249508192799</v>
      </c>
      <c r="U32" s="11">
        <f>(((20*Input!$G$6*($J32/(2.54)^4))/(($B32/25.4)*($F32*0.00571)))^0.5)*25.4/1000</f>
        <v>15.257020540420916</v>
      </c>
      <c r="V32" s="11">
        <f>((384*Input!$C$4*$J32*Input!$C$5)/(3*$F32*100000))^(1/4)</f>
        <v>12.060024029133491</v>
      </c>
      <c r="W32" s="11">
        <f>(((200*Input!$C$6*($J32))/($B32*($F32)))^0.5)</f>
        <v>15.256704961718528</v>
      </c>
      <c r="X32" s="11">
        <f t="shared" si="2"/>
        <v>10.61416869405074</v>
      </c>
      <c r="Y32" s="26">
        <v>14.5</v>
      </c>
      <c r="Z32" s="26">
        <v>11.55</v>
      </c>
      <c r="AA32" s="26"/>
      <c r="AB32" s="32">
        <f t="shared" si="6"/>
        <v>1.0881681206436633</v>
      </c>
      <c r="AC32" s="32">
        <f t="shared" si="3"/>
        <v>1.3660985064357678</v>
      </c>
      <c r="AD32" s="32">
        <f t="shared" si="4"/>
        <v>0.91356513182169019</v>
      </c>
    </row>
    <row r="33" spans="1:30" x14ac:dyDescent="0.2">
      <c r="A33" s="9">
        <v>20</v>
      </c>
      <c r="B33" s="6">
        <v>508</v>
      </c>
      <c r="C33" s="10" t="s">
        <v>10</v>
      </c>
      <c r="D33" s="8">
        <v>12.7</v>
      </c>
      <c r="E33" s="8">
        <v>140</v>
      </c>
      <c r="F33" s="8">
        <f t="shared" si="0"/>
        <v>3315.9446000652774</v>
      </c>
      <c r="G33" s="8">
        <f>(3.14*(B33+E33)*E33*Input!C$2/1000000)*9.81</f>
        <v>558.89688960000001</v>
      </c>
      <c r="H33" s="8">
        <f>((3.14*(B33-2*D33)^2)/4*Input!C$3/1000000)*9.81</f>
        <v>1793.5492193460002</v>
      </c>
      <c r="I33" s="8">
        <f>(Input!C$8/1067)*'Bare+Water'!B33</f>
        <v>7.855670103092784</v>
      </c>
      <c r="J33" s="142">
        <f t="shared" si="1"/>
        <v>60662.583311477778</v>
      </c>
      <c r="K33" s="11">
        <f>(Input!C$9*(Input!C$7+I33)*D33^2)/(0.644*F33*((B33/2)*D33)^0.5)</f>
        <v>9.6097784165365194</v>
      </c>
      <c r="L33" s="11">
        <f>((384*Input!$C$4*$J33*Input!$C$5)/(5*$F33*100000))^(1/4)</f>
        <v>11.036584511904698</v>
      </c>
      <c r="M33" s="11">
        <f>((160*Input!$C$6*$J33)/(B33*$F33))^0.5</f>
        <v>13.99665993447412</v>
      </c>
      <c r="N33" s="11">
        <f>((384*Input!$C$4*$J33*Input!$C$5)/(($F33*100000)))^(1/4)</f>
        <v>16.503543198721687</v>
      </c>
      <c r="O33" s="11">
        <f>((240*Input!$C$6*$J33)/($B33*$F33))^0.5</f>
        <v>17.142337471359316</v>
      </c>
      <c r="P33" s="11">
        <f>((185*Input!$G$4*($J33/(2.54)^4)*(Input!$G$5))/($F33*0.00571))^(1/4)*25.4/1000</f>
        <v>13.74965533813568</v>
      </c>
      <c r="Q33" s="11">
        <f>(((16*Input!$G$6*($J33/(2.54)^4))/(($B33/25.4)*($F33*0.00571)))^0.5)*25.4/1000</f>
        <v>13.996949449660457</v>
      </c>
      <c r="R33" s="11">
        <f>((384*Input!$G$4*($J33/(2.54)^4)*(Input!$G$5))/($F33*0.00571))^(1/4)*25.4/1000</f>
        <v>16.503713882359747</v>
      </c>
      <c r="S33" s="11">
        <f>(((24*Input!$G$6*($J33/(2.54)^4))/(($B33/25.4)*($F33*0.00571)))^0.5)*25.4/1000</f>
        <v>17.142692053598971</v>
      </c>
      <c r="T33" s="11">
        <f>((Input!$G$4*($J33/(2.54)^4)*(Input!$G$5))/(17.1*$F33*0.06854))^(1/4)*0.3048</f>
        <v>11.81963594901173</v>
      </c>
      <c r="U33" s="11">
        <f>(((20*Input!$G$6*($J33/(2.54)^4))/(($B33/25.4)*($F33*0.00571)))^0.5)*25.4/1000</f>
        <v>15.649065223534528</v>
      </c>
      <c r="V33" s="11">
        <f>((384*Input!$C$4*$J33*Input!$C$5)/(3*$F33*100000))^(1/4)</f>
        <v>12.53998106208137</v>
      </c>
      <c r="W33" s="11">
        <f>(((200*Input!$C$6*($J33))/($B33*($F33)))^0.5)</f>
        <v>15.648741535715944</v>
      </c>
      <c r="X33" s="11">
        <f t="shared" si="2"/>
        <v>11.036584511904698</v>
      </c>
      <c r="Y33" s="26">
        <v>15</v>
      </c>
      <c r="Z33" s="26">
        <v>12.3</v>
      </c>
      <c r="AA33" s="26"/>
      <c r="AB33" s="32">
        <f t="shared" si="6"/>
        <v>1.1144752243533775</v>
      </c>
      <c r="AC33" s="32">
        <f t="shared" si="3"/>
        <v>1.3591161272602166</v>
      </c>
      <c r="AD33" s="32">
        <f t="shared" si="4"/>
        <v>0.90889573344237096</v>
      </c>
    </row>
    <row r="34" spans="1:30" x14ac:dyDescent="0.2">
      <c r="A34" s="9">
        <v>24</v>
      </c>
      <c r="B34" s="6">
        <v>609.6</v>
      </c>
      <c r="C34" s="10" t="s">
        <v>10</v>
      </c>
      <c r="D34" s="8">
        <v>12.7</v>
      </c>
      <c r="E34" s="8">
        <v>140</v>
      </c>
      <c r="F34" s="8">
        <f t="shared" si="0"/>
        <v>4462.9019368556928</v>
      </c>
      <c r="G34" s="8">
        <f>(3.14*(B34+E34)*E34*Input!C$2/1000000)*9.81</f>
        <v>646.52640192000013</v>
      </c>
      <c r="H34" s="8">
        <f>((3.14*(B34-2*D34)^2)/4*Input!C$3/1000000)*9.81</f>
        <v>2628.2203241940006</v>
      </c>
      <c r="I34" s="8">
        <f>(Input!C$8/1067)*'Bare+Water'!B34</f>
        <v>9.4268041237113405</v>
      </c>
      <c r="J34" s="142">
        <f t="shared" si="1"/>
        <v>106152.87793664199</v>
      </c>
      <c r="K34" s="11">
        <f>(Input!C$9*(Input!C$7+I34)*D34^2)/(0.644*F34*((B34/2)*D34)^0.5)</f>
        <v>6.6129221006458669</v>
      </c>
      <c r="L34" s="11">
        <f>((384*Input!$C$4*$J34*Input!$C$5)/(5*$F34*100000))^(1/4)</f>
        <v>11.785143953792231</v>
      </c>
      <c r="M34" s="11">
        <f>((160*Input!$C$6*$J34)/(B34*$F34))^0.5</f>
        <v>14.569149004931994</v>
      </c>
      <c r="N34" s="11">
        <f>((384*Input!$C$4*$J34*Input!$C$5)/(($F34*100000)))^(1/4)</f>
        <v>17.622900647819854</v>
      </c>
      <c r="O34" s="11">
        <f>((240*Input!$C$6*$J34)/($B34*$F34))^0.5</f>
        <v>17.843490524330335</v>
      </c>
      <c r="P34" s="11">
        <f>((185*Input!$G$4*($J34/(2.54)^4)*(Input!$G$5))/($F34*0.00571))^(1/4)*25.4/1000</f>
        <v>14.682229570223411</v>
      </c>
      <c r="Q34" s="11">
        <f>(((16*Input!$G$6*($J34/(2.54)^4))/(($B34/25.4)*($F34*0.00571)))^0.5)*25.4/1000</f>
        <v>14.569450361820614</v>
      </c>
      <c r="R34" s="11">
        <f>((384*Input!$G$4*($J34/(2.54)^4)*(Input!$G$5))/($F34*0.00571))^(1/4)*25.4/1000</f>
        <v>17.623082908123571</v>
      </c>
      <c r="S34" s="11">
        <f>(((24*Input!$G$6*($J34/(2.54)^4))/(($B34/25.4)*($F34*0.00571)))^0.5)*25.4/1000</f>
        <v>17.843859609634126</v>
      </c>
      <c r="T34" s="11">
        <f>((Input!$G$4*($J34/(2.54)^4)*(Input!$G$5))/(17.1*$F34*0.06854))^(1/4)*0.3048</f>
        <v>12.621306074380898</v>
      </c>
      <c r="U34" s="11">
        <f>(((20*Input!$G$6*($J34/(2.54)^4))/(($B34/25.4)*($F34*0.00571)))^0.5)*25.4/1000</f>
        <v>16.289140701919898</v>
      </c>
      <c r="V34" s="11">
        <f>((384*Input!$C$4*$J34*Input!$C$5)/(3*$F34*100000))^(1/4)</f>
        <v>13.390508796906088</v>
      </c>
      <c r="W34" s="11">
        <f>(((200*Input!$C$6*($J34))/($B34*($F34)))^0.5)</f>
        <v>16.288803774675682</v>
      </c>
      <c r="X34" s="11">
        <f t="shared" si="2"/>
        <v>11.785143953792231</v>
      </c>
      <c r="Y34" s="26">
        <v>16</v>
      </c>
      <c r="Z34" s="26">
        <v>13.1</v>
      </c>
      <c r="AA34" s="26"/>
      <c r="AB34" s="32">
        <f t="shared" si="6"/>
        <v>1.1115689423364807</v>
      </c>
      <c r="AC34" s="32">
        <f t="shared" si="3"/>
        <v>1.3576414562888313</v>
      </c>
      <c r="AD34" s="32">
        <f t="shared" si="4"/>
        <v>0.90790956152722657</v>
      </c>
    </row>
    <row r="35" spans="1:30" x14ac:dyDescent="0.2">
      <c r="A35" s="5">
        <v>1</v>
      </c>
      <c r="B35" s="6">
        <v>33.4</v>
      </c>
      <c r="C35" s="10" t="s">
        <v>5</v>
      </c>
      <c r="D35" s="7">
        <v>2.77</v>
      </c>
      <c r="E35" s="8">
        <v>40</v>
      </c>
      <c r="F35" s="8">
        <f t="shared" si="0"/>
        <v>26.511650089252381</v>
      </c>
      <c r="G35" s="8">
        <f>(3.14*(B35+E35)*E35*Input!C$2/1000000)*9.81</f>
        <v>18.087756480000003</v>
      </c>
      <c r="H35" s="8">
        <f>((3.14*(B35-2*D35)^2)/4*Input!C$3/1000000)*9.81</f>
        <v>5.9772426726600001</v>
      </c>
      <c r="I35" s="8">
        <f>(Input!C$8/1067)*'Bare+Water'!B35</f>
        <v>0.51649484536082479</v>
      </c>
      <c r="J35" s="142">
        <f t="shared" si="1"/>
        <v>3.1527162320150941</v>
      </c>
      <c r="K35" s="11">
        <f>(Input!C$9*(Input!C$7+I35)*D35^2)/(0.644*F35*((B35/2)*D35)^0.5)</f>
        <v>444.9906952103359</v>
      </c>
      <c r="L35" s="11">
        <f>((384*Input!$C$4*$J35*Input!$C$5)/(5*$F35*100000))^(1/4)</f>
        <v>3.1337786357332225</v>
      </c>
      <c r="M35" s="11">
        <f>((160*Input!$C$6*$J35)/(B35*$F35))^0.5</f>
        <v>4.4009889512302411</v>
      </c>
      <c r="N35" s="11">
        <f>((384*Input!$C$4*$J35*Input!$C$5)/(($F35*100000)))^(1/4)</f>
        <v>4.6860920635607739</v>
      </c>
      <c r="O35" s="11">
        <f>((240*Input!$C$6*$J35)/($B35*$F35))^0.5</f>
        <v>5.3900886470702867</v>
      </c>
      <c r="P35" s="11">
        <f>((185*Input!$G$4*($J35/(2.54)^4)*(Input!$G$5))/($F35*0.00571))^(1/4)*25.4/1000</f>
        <v>3.9041404612873873</v>
      </c>
      <c r="Q35" s="11">
        <f>(((16*Input!$G$6*($J35/(2.54)^4))/(($B35/25.4)*($F35*0.00571)))^0.5)*25.4/1000</f>
        <v>4.4010799838867634</v>
      </c>
      <c r="R35" s="11">
        <f>((384*Input!$G$4*($J35/(2.54)^4)*(Input!$G$5))/($F35*0.00571))^(1/4)*25.4/1000</f>
        <v>4.6861405282590578</v>
      </c>
      <c r="S35" s="11">
        <f>(((24*Input!$G$6*($J35/(2.54)^4))/(($B35/25.4)*($F35*0.00571)))^0.5)*25.4/1000</f>
        <v>5.3902001388494911</v>
      </c>
      <c r="T35" s="11">
        <f>((Input!$G$4*($J35/(2.54)^4)*(Input!$G$5))/(17.1*$F35*0.06854))^(1/4)*0.3048</f>
        <v>3.3561218671595117</v>
      </c>
      <c r="U35" s="11">
        <f>(((20*Input!$G$6*($J35/(2.54)^4))/(($B35/25.4)*($F35*0.00571)))^0.5)*25.4/1000</f>
        <v>4.9205570091922421</v>
      </c>
      <c r="V35" s="11">
        <f>((384*Input!$C$4*$J35*Input!$C$5)/(3*$F35*100000))^(1/4)</f>
        <v>3.5606599761421864</v>
      </c>
      <c r="W35" s="11">
        <f>(((200*Input!$C$6*($J35))/($B35*($F35)))^0.5)</f>
        <v>4.9204552315881633</v>
      </c>
      <c r="X35" s="11">
        <f t="shared" si="2"/>
        <v>3.1337786357332225</v>
      </c>
      <c r="Y35" s="26">
        <v>4</v>
      </c>
      <c r="Z35" s="26">
        <v>3.65</v>
      </c>
      <c r="AA35" s="26">
        <v>5.2</v>
      </c>
      <c r="AB35" s="32">
        <f t="shared" si="6"/>
        <v>1.164728088442659</v>
      </c>
      <c r="AC35" s="32">
        <f t="shared" si="3"/>
        <v>1.2764143434988044</v>
      </c>
      <c r="AD35" s="32">
        <f t="shared" si="4"/>
        <v>0.85358971734766986</v>
      </c>
    </row>
    <row r="36" spans="1:30" x14ac:dyDescent="0.2">
      <c r="A36" s="5">
        <v>1.5</v>
      </c>
      <c r="B36" s="6">
        <v>48.26</v>
      </c>
      <c r="C36" s="10" t="s">
        <v>5</v>
      </c>
      <c r="D36" s="7">
        <v>2.77</v>
      </c>
      <c r="E36" s="8">
        <v>50</v>
      </c>
      <c r="F36" s="8">
        <f t="shared" si="0"/>
        <v>44.550617230330737</v>
      </c>
      <c r="G36" s="8">
        <f>(3.14*(B36+E36)*E36*Input!C$2/1000000)*9.81</f>
        <v>30.267420839999996</v>
      </c>
      <c r="H36" s="8">
        <f>((3.14*(B36-2*D36)^2)/4*Input!C$3/1000000)*9.81</f>
        <v>14.054038928640001</v>
      </c>
      <c r="I36" s="8">
        <f>(Input!C$8/1067)*'Bare+Water'!B36</f>
        <v>0.74628865979381442</v>
      </c>
      <c r="J36" s="142">
        <f t="shared" si="1"/>
        <v>10.281623065656644</v>
      </c>
      <c r="K36" s="11">
        <f>(Input!C$9*(Input!C$7+I36)*D36^2)/(0.644*F36*((B36/2)*D36)^0.5)</f>
        <v>220.80314703463401</v>
      </c>
      <c r="L36" s="11">
        <f>((384*Input!$C$4*$J36*Input!$C$5)/(5*$F36*100000))^(1/4)</f>
        <v>3.6987780590394403</v>
      </c>
      <c r="M36" s="11">
        <f>((160*Input!$C$6*$J36)/(B36*$F36))^0.5</f>
        <v>5.1004649497462946</v>
      </c>
      <c r="N36" s="11">
        <f>((384*Input!$C$4*$J36*Input!$C$5)/(($F36*100000)))^(1/4)</f>
        <v>5.5309632625924179</v>
      </c>
      <c r="O36" s="11">
        <f>((240*Input!$C$6*$J36)/($B36*$F36))^0.5</f>
        <v>6.2467682889143328</v>
      </c>
      <c r="P36" s="11">
        <f>((185*Input!$G$4*($J36/(2.54)^4)*(Input!$G$5))/($F36*0.00571))^(1/4)*25.4/1000</f>
        <v>4.6080309926674845</v>
      </c>
      <c r="Q36" s="11">
        <f>(((16*Input!$G$6*($J36/(2.54)^4))/(($B36/25.4)*($F36*0.00571)))^0.5)*25.4/1000</f>
        <v>5.1005704507777718</v>
      </c>
      <c r="R36" s="11">
        <f>((384*Input!$G$4*($J36/(2.54)^4)*(Input!$G$5))/($F36*0.00571))^(1/4)*25.4/1000</f>
        <v>5.531020465153123</v>
      </c>
      <c r="S36" s="11">
        <f>(((24*Input!$G$6*($J36/(2.54)^4))/(($B36/25.4)*($F36*0.00571)))^0.5)*25.4/1000</f>
        <v>6.2468975007615608</v>
      </c>
      <c r="T36" s="11">
        <f>((Input!$G$4*($J36/(2.54)^4)*(Input!$G$5))/(17.1*$F36*0.06854))^(1/4)*0.3048</f>
        <v>3.9612082947293525</v>
      </c>
      <c r="U36" s="11">
        <f>(((20*Input!$G$6*($J36/(2.54)^4))/(($B36/25.4)*($F36*0.00571)))^0.5)*25.4/1000</f>
        <v>5.7026111259829211</v>
      </c>
      <c r="V36" s="11">
        <f>((384*Input!$C$4*$J36*Input!$C$5)/(3*$F36*100000))^(1/4)</f>
        <v>4.2026232629456794</v>
      </c>
      <c r="W36" s="11">
        <f>(((200*Input!$C$6*($J36))/($B36*($F36)))^0.5)</f>
        <v>5.702493172243881</v>
      </c>
      <c r="X36" s="11">
        <f t="shared" si="2"/>
        <v>3.6987780590394403</v>
      </c>
      <c r="Y36" s="26">
        <v>5</v>
      </c>
      <c r="Z36" s="26">
        <v>4.3499999999999996</v>
      </c>
      <c r="AA36" s="26">
        <v>5.9</v>
      </c>
      <c r="AB36" s="32">
        <f t="shared" si="6"/>
        <v>1.176064075909891</v>
      </c>
      <c r="AC36" s="32">
        <f t="shared" si="3"/>
        <v>1.3517977884021737</v>
      </c>
      <c r="AD36" s="32">
        <f t="shared" si="4"/>
        <v>0.90400166528252257</v>
      </c>
    </row>
    <row r="37" spans="1:30" x14ac:dyDescent="0.2">
      <c r="A37" s="5">
        <v>2</v>
      </c>
      <c r="B37" s="6">
        <v>60.32</v>
      </c>
      <c r="C37" s="10" t="s">
        <v>5</v>
      </c>
      <c r="D37" s="7">
        <v>2.77</v>
      </c>
      <c r="E37" s="8">
        <v>50</v>
      </c>
      <c r="F37" s="8">
        <f t="shared" si="0"/>
        <v>61.690707522096275</v>
      </c>
      <c r="G37" s="8">
        <f>(3.14*(B37+E37)*E37*Input!C$2/1000000)*9.81</f>
        <v>33.98231088</v>
      </c>
      <c r="H37" s="8">
        <f>((3.14*(B37-2*D37)^2)/4*Input!C$3/1000000)*9.81</f>
        <v>23.109083401140005</v>
      </c>
      <c r="I37" s="8">
        <f>(Input!C$8/1067)*'Bare+Water'!B37</f>
        <v>0.93278350515463926</v>
      </c>
      <c r="J37" s="142">
        <f t="shared" si="1"/>
        <v>20.78966420693579</v>
      </c>
      <c r="K37" s="11">
        <f>(Input!C$9*(Input!C$7+I37)*D37^2)/(0.644*F37*((B37/2)*D37)^0.5)</f>
        <v>142.89117896320982</v>
      </c>
      <c r="L37" s="11">
        <f>((384*Input!$C$4*$J37*Input!$C$5)/(5*$F37*100000))^(1/4)</f>
        <v>4.0659610636993966</v>
      </c>
      <c r="M37" s="11">
        <f>((160*Input!$C$6*$J37)/(B37*$F37))^0.5</f>
        <v>5.512932121232387</v>
      </c>
      <c r="N37" s="11">
        <f>((384*Input!$C$4*$J37*Input!$C$5)/(($F37*100000)))^(1/4)</f>
        <v>6.0800299210958304</v>
      </c>
      <c r="O37" s="11">
        <f>((240*Input!$C$6*$J37)/($B37*$F37))^0.5</f>
        <v>6.75193534180932</v>
      </c>
      <c r="P37" s="11">
        <f>((185*Input!$G$4*($J37/(2.54)^4)*(Input!$G$5))/($F37*0.00571))^(1/4)*25.4/1000</f>
        <v>5.065476840579012</v>
      </c>
      <c r="Q37" s="11">
        <f>(((16*Input!$G$6*($J37/(2.54)^4))/(($B37/25.4)*($F37*0.00571)))^0.5)*25.4/1000</f>
        <v>5.513046153978614</v>
      </c>
      <c r="R37" s="11">
        <f>((384*Input!$G$4*($J37/(2.54)^4)*(Input!$G$5))/($F37*0.00571))^(1/4)*25.4/1000</f>
        <v>6.0800928022368073</v>
      </c>
      <c r="S37" s="11">
        <f>(((24*Input!$G$6*($J37/(2.54)^4))/(($B37/25.4)*($F37*0.00571)))^0.5)*25.4/1000</f>
        <v>6.7520750028304306</v>
      </c>
      <c r="T37" s="11">
        <f>((Input!$G$4*($J37/(2.54)^4)*(Input!$G$5))/(17.1*$F37*0.06854))^(1/4)*0.3048</f>
        <v>4.3544431254021596</v>
      </c>
      <c r="U37" s="11">
        <f>(((20*Input!$G$6*($J37/(2.54)^4))/(($B37/25.4)*($F37*0.00571)))^0.5)*25.4/1000</f>
        <v>6.1637729816949758</v>
      </c>
      <c r="V37" s="11">
        <f>((384*Input!$C$4*$J37*Input!$C$5)/(3*$F37*100000))^(1/4)</f>
        <v>4.6198237038780476</v>
      </c>
      <c r="W37" s="11">
        <f>(((200*Input!$C$6*($J37))/($B37*($F37)))^0.5)</f>
        <v>6.1636454892088643</v>
      </c>
      <c r="X37" s="11">
        <f t="shared" si="2"/>
        <v>4.0659610636993966</v>
      </c>
      <c r="Y37" s="26">
        <v>5.5</v>
      </c>
      <c r="Z37" s="26">
        <v>4.7</v>
      </c>
      <c r="AA37" s="26">
        <v>6.9</v>
      </c>
      <c r="AB37" s="32">
        <f t="shared" si="6"/>
        <v>1.155938270526311</v>
      </c>
      <c r="AC37" s="32">
        <f t="shared" si="3"/>
        <v>1.3526937208286618</v>
      </c>
      <c r="AD37" s="32">
        <f t="shared" si="4"/>
        <v>0.90460081140665027</v>
      </c>
    </row>
    <row r="38" spans="1:30" x14ac:dyDescent="0.2">
      <c r="A38" s="5">
        <v>2.5</v>
      </c>
      <c r="B38" s="6">
        <v>73.02</v>
      </c>
      <c r="C38" s="10" t="s">
        <v>5</v>
      </c>
      <c r="D38" s="7">
        <v>3.05</v>
      </c>
      <c r="E38" s="8">
        <v>50</v>
      </c>
      <c r="F38" s="8">
        <f t="shared" si="0"/>
        <v>86.136230778027254</v>
      </c>
      <c r="G38" s="8">
        <f>(3.14*(B38+E38)*E38*Input!C$2/1000000)*9.81</f>
        <v>37.894342680000001</v>
      </c>
      <c r="H38" s="8">
        <f>((3.14*(B38-2*D38)^2)/4*Input!C$3/1000000)*9.81</f>
        <v>34.486611823440001</v>
      </c>
      <c r="I38" s="8">
        <f>(Input!C$8/1067)*'Bare+Water'!B38</f>
        <v>1.1291752577319587</v>
      </c>
      <c r="J38" s="142">
        <f t="shared" si="1"/>
        <v>41.123174964914639</v>
      </c>
      <c r="K38" s="11">
        <f>(Input!C$9*(Input!C$7+I38)*D38^2)/(0.644*F38*((B38/2)*D38)^0.5)</f>
        <v>107.67710725246941</v>
      </c>
      <c r="L38" s="11">
        <f>((384*Input!$C$4*$J38*Input!$C$5)/(5*$F38*100000))^(1/4)</f>
        <v>4.4358972513295623</v>
      </c>
      <c r="M38" s="11">
        <f>((160*Input!$C$6*$J38)/(B38*$F38))^0.5</f>
        <v>5.9638803586698215</v>
      </c>
      <c r="N38" s="11">
        <f>((384*Input!$C$4*$J38*Input!$C$5)/(($F38*100000)))^(1/4)</f>
        <v>6.6332135483982233</v>
      </c>
      <c r="O38" s="11">
        <f>((240*Input!$C$6*$J38)/($B38*$F38))^0.5</f>
        <v>7.3042318828738937</v>
      </c>
      <c r="P38" s="11">
        <f>((185*Input!$G$4*($J38/(2.54)^4)*(Input!$G$5))/($F38*0.00571))^(1/4)*25.4/1000</f>
        <v>5.5263526732727302</v>
      </c>
      <c r="Q38" s="11">
        <f>(((16*Input!$G$6*($J38/(2.54)^4))/(($B38/25.4)*($F38*0.00571)))^0.5)*25.4/1000</f>
        <v>5.9640037190959081</v>
      </c>
      <c r="R38" s="11">
        <f>((384*Input!$G$4*($J38/(2.54)^4)*(Input!$G$5))/($F38*0.00571))^(1/4)*25.4/1000</f>
        <v>6.6332821506981592</v>
      </c>
      <c r="S38" s="11">
        <f>(((24*Input!$G$6*($J38/(2.54)^4))/(($B38/25.4)*($F38*0.00571)))^0.5)*25.4/1000</f>
        <v>7.3043829679230763</v>
      </c>
      <c r="T38" s="11">
        <f>((Input!$G$4*($J38/(2.54)^4)*(Input!$G$5))/(17.1*$F38*0.06854))^(1/4)*0.3048</f>
        <v>4.7506264788152937</v>
      </c>
      <c r="U38" s="11">
        <f>(((20*Input!$G$6*($J38/(2.54)^4))/(($B38/25.4)*($F38*0.00571)))^0.5)*25.4/1000</f>
        <v>6.6679588669800065</v>
      </c>
      <c r="V38" s="11">
        <f>((384*Input!$C$4*$J38*Input!$C$5)/(3*$F38*100000))^(1/4)</f>
        <v>5.0401523646205968</v>
      </c>
      <c r="W38" s="11">
        <f>(((200*Input!$C$6*($J38))/($B38*($F38)))^0.5)</f>
        <v>6.6678209458307736</v>
      </c>
      <c r="X38" s="11">
        <f t="shared" si="2"/>
        <v>4.4358972513295623</v>
      </c>
      <c r="Y38" s="26">
        <v>6</v>
      </c>
      <c r="Z38" s="26" t="s">
        <v>6</v>
      </c>
      <c r="AA38" s="26" t="s">
        <v>6</v>
      </c>
      <c r="AB38" s="33" t="s">
        <v>6</v>
      </c>
      <c r="AC38" s="32">
        <f t="shared" si="3"/>
        <v>1.3526012123481066</v>
      </c>
      <c r="AD38" s="32">
        <f t="shared" si="4"/>
        <v>0.904538947257151</v>
      </c>
    </row>
    <row r="39" spans="1:30" x14ac:dyDescent="0.2">
      <c r="A39" s="9">
        <v>3</v>
      </c>
      <c r="B39" s="6">
        <v>88.9</v>
      </c>
      <c r="C39" s="10" t="s">
        <v>5</v>
      </c>
      <c r="D39" s="7">
        <v>3.05</v>
      </c>
      <c r="E39" s="8">
        <v>100</v>
      </c>
      <c r="F39" s="8">
        <f t="shared" si="0"/>
        <v>116.16752316517645</v>
      </c>
      <c r="G39" s="8">
        <f>(3.14*(B39+E39)*E39*Input!C$2/1000000)*9.81</f>
        <v>116.37524520000004</v>
      </c>
      <c r="H39" s="8">
        <f>((3.14*(B39-2*D39)^2)/4*Input!C$3/1000000)*9.81</f>
        <v>52.795795464000015</v>
      </c>
      <c r="I39" s="8">
        <f>(Input!C$8/1067)*'Bare+Water'!B39</f>
        <v>1.3747422680412373</v>
      </c>
      <c r="J39" s="142">
        <f t="shared" si="1"/>
        <v>75.909355601008983</v>
      </c>
      <c r="K39" s="11">
        <f>(Input!C$9*(Input!C$7+I39)*D39^2)/(0.644*F39*((B39/2)*D39)^0.5)</f>
        <v>72.535038354880598</v>
      </c>
      <c r="L39" s="11">
        <f>((384*Input!$C$4*$J39*Input!$C$5)/(5*$F39*100000))^(1/4)</f>
        <v>4.797985468376762</v>
      </c>
      <c r="M39" s="11">
        <f>((160*Input!$C$6*$J39)/(B39*$F39))^0.5</f>
        <v>6.3234466208440425</v>
      </c>
      <c r="N39" s="11">
        <f>((384*Input!$C$4*$J39*Input!$C$5)/(($F39*100000)))^(1/4)</f>
        <v>7.1746617224543163</v>
      </c>
      <c r="O39" s="11">
        <f>((240*Input!$C$6*$J39)/($B39*$F39))^0.5</f>
        <v>7.7446088183972162</v>
      </c>
      <c r="P39" s="11">
        <f>((185*Input!$G$4*($J39/(2.54)^4)*(Input!$G$5))/($F39*0.00571))^(1/4)*25.4/1000</f>
        <v>5.9774513062808738</v>
      </c>
      <c r="Q39" s="11">
        <f>(((16*Input!$G$6*($J39/(2.54)^4))/(($B39/25.4)*($F39*0.00571)))^0.5)*25.4/1000</f>
        <v>6.3235774187512064</v>
      </c>
      <c r="R39" s="11">
        <f>((384*Input!$G$4*($J39/(2.54)^4)*(Input!$G$5))/($F39*0.00571))^(1/4)*25.4/1000</f>
        <v>7.1747359245423148</v>
      </c>
      <c r="S39" s="11">
        <f>(((24*Input!$G$6*($J39/(2.54)^4))/(($B39/25.4)*($F39*0.00571)))^0.5)*25.4/1000</f>
        <v>7.7447690124632036</v>
      </c>
      <c r="T39" s="11">
        <f>((Input!$G$4*($J39/(2.54)^4)*(Input!$G$5))/(17.1*$F39*0.06854))^(1/4)*0.3048</f>
        <v>5.1384050440324813</v>
      </c>
      <c r="U39" s="11">
        <f>(((20*Input!$G$6*($J39/(2.54)^4))/(($B39/25.4)*($F39*0.00571)))^0.5)*25.4/1000</f>
        <v>7.0699744846551758</v>
      </c>
      <c r="V39" s="11">
        <f>((384*Input!$C$4*$J39*Input!$C$5)/(3*$F39*100000))^(1/4)</f>
        <v>5.4515640091993118</v>
      </c>
      <c r="W39" s="11">
        <f>(((200*Input!$C$6*($J39))/($B39*($F39)))^0.5)</f>
        <v>7.0698282481493093</v>
      </c>
      <c r="X39" s="11">
        <f t="shared" si="2"/>
        <v>4.797985468376762</v>
      </c>
      <c r="Y39" s="26">
        <v>6</v>
      </c>
      <c r="Z39" s="26">
        <v>5.55</v>
      </c>
      <c r="AA39" s="26">
        <v>8.1999999999999993</v>
      </c>
      <c r="AB39" s="32">
        <f t="shared" ref="AB39:AB49" si="7">Z39/MIN(L39:W39)</f>
        <v>1.1567354750404564</v>
      </c>
      <c r="AC39" s="32">
        <f t="shared" si="3"/>
        <v>1.2505248378815743</v>
      </c>
      <c r="AD39" s="32">
        <f t="shared" si="4"/>
        <v>0.83627636146551498</v>
      </c>
    </row>
    <row r="40" spans="1:30" x14ac:dyDescent="0.2">
      <c r="A40" s="9">
        <v>4</v>
      </c>
      <c r="B40" s="6">
        <v>114.3</v>
      </c>
      <c r="C40" s="10" t="s">
        <v>5</v>
      </c>
      <c r="D40" s="7">
        <v>3.05</v>
      </c>
      <c r="E40" s="8">
        <v>100</v>
      </c>
      <c r="F40" s="8">
        <f t="shared" si="0"/>
        <v>172.27689550526247</v>
      </c>
      <c r="G40" s="8">
        <f>(3.14*(B40+E40)*E40*Input!C$2/1000000)*9.81</f>
        <v>132.02337240000003</v>
      </c>
      <c r="H40" s="8">
        <f>((3.14*(B40-2*D40)^2)/4*Input!C$3/1000000)*9.81</f>
        <v>90.155699154000004</v>
      </c>
      <c r="I40" s="8">
        <f>(Input!C$8/1067)*'Bare+Water'!B40</f>
        <v>1.7675257731958762</v>
      </c>
      <c r="J40" s="142">
        <f t="shared" si="1"/>
        <v>165.10223735776398</v>
      </c>
      <c r="K40" s="11">
        <f>(Input!C$9*(Input!C$7+I40)*D40^2)/(0.644*F40*((B40/2)*D40)^0.5)</f>
        <v>43.302478608839934</v>
      </c>
      <c r="L40" s="11">
        <f>((384*Input!$C$4*$J40*Input!$C$5)/(5*$F40*100000))^(1/4)</f>
        <v>5.2800467149456569</v>
      </c>
      <c r="M40" s="11">
        <f>((160*Input!$C$6*$J40)/(B40*$F40))^0.5</f>
        <v>6.7536615909238575</v>
      </c>
      <c r="N40" s="11">
        <f>((384*Input!$C$4*$J40*Input!$C$5)/(($F40*100000)))^(1/4)</f>
        <v>7.8955114199850973</v>
      </c>
      <c r="O40" s="11">
        <f>((240*Input!$C$6*$J40)/($B40*$F40))^0.5</f>
        <v>8.2715123965983555</v>
      </c>
      <c r="P40" s="11">
        <f>((185*Input!$G$4*($J40/(2.54)^4)*(Input!$G$5))/($F40*0.00571))^(1/4)*25.4/1000</f>
        <v>6.5780153653015576</v>
      </c>
      <c r="Q40" s="11">
        <f>(((16*Input!$G$6*($J40/(2.54)^4))/(($B40/25.4)*($F40*0.00571)))^0.5)*25.4/1000</f>
        <v>6.7538012876517275</v>
      </c>
      <c r="R40" s="11">
        <f>((384*Input!$G$4*($J40/(2.54)^4)*(Input!$G$5))/($F40*0.00571))^(1/4)*25.4/1000</f>
        <v>7.8955930772751337</v>
      </c>
      <c r="S40" s="11">
        <f>(((24*Input!$G$6*($J40/(2.54)^4))/(($B40/25.4)*($F40*0.00571)))^0.5)*25.4/1000</f>
        <v>8.271683489449364</v>
      </c>
      <c r="T40" s="11">
        <f>((Input!$G$4*($J40/(2.54)^4)*(Input!$G$5))/(17.1*$F40*0.06854))^(1/4)*0.3048</f>
        <v>5.6546687878950106</v>
      </c>
      <c r="U40" s="11">
        <f>(((20*Input!$G$6*($J40/(2.54)^4))/(($B40/25.4)*($F40*0.00571)))^0.5)*25.4/1000</f>
        <v>7.5509793928574362</v>
      </c>
      <c r="V40" s="11">
        <f>((384*Input!$C$4*$J40*Input!$C$5)/(3*$F40*100000))^(1/4)</f>
        <v>5.9992913333743561</v>
      </c>
      <c r="W40" s="11">
        <f>(((200*Input!$C$6*($J40))/($B40*($F40)))^0.5)</f>
        <v>7.5508232071675616</v>
      </c>
      <c r="X40" s="11">
        <f t="shared" si="2"/>
        <v>5.2800467149456569</v>
      </c>
      <c r="Y40" s="26">
        <v>7</v>
      </c>
      <c r="Z40" s="26">
        <v>6.15</v>
      </c>
      <c r="AA40" s="26"/>
      <c r="AB40" s="32">
        <f t="shared" si="7"/>
        <v>1.164762422005067</v>
      </c>
      <c r="AC40" s="32">
        <f t="shared" si="3"/>
        <v>1.325745846184629</v>
      </c>
      <c r="AD40" s="32">
        <f t="shared" si="4"/>
        <v>0.88657968149873345</v>
      </c>
    </row>
    <row r="41" spans="1:30" x14ac:dyDescent="0.2">
      <c r="A41" s="9">
        <v>6</v>
      </c>
      <c r="B41" s="6">
        <v>168.27</v>
      </c>
      <c r="C41" s="10" t="s">
        <v>5</v>
      </c>
      <c r="D41" s="8">
        <v>3.4</v>
      </c>
      <c r="E41" s="8">
        <v>100</v>
      </c>
      <c r="F41" s="8">
        <f t="shared" si="0"/>
        <v>336.44842478586565</v>
      </c>
      <c r="G41" s="8">
        <f>(3.14*(B41+E41)*E41*Input!C$2/1000000)*9.81</f>
        <v>165.27256236000002</v>
      </c>
      <c r="H41" s="8">
        <f>((3.14*(B41-2*D41)^2)/4*Input!C$3/1000000)*9.81</f>
        <v>200.78088060676504</v>
      </c>
      <c r="I41" s="8">
        <f>(Input!C$8/1067)*'Bare+Water'!B41</f>
        <v>2.6021134020618559</v>
      </c>
      <c r="J41" s="142">
        <f t="shared" si="1"/>
        <v>598.84612773637616</v>
      </c>
      <c r="K41" s="11">
        <f>(Input!C$9*(Input!C$7+I41)*D41^2)/(0.644*F41*((B41/2)*D41)^0.5)</f>
        <v>21.684867284500893</v>
      </c>
      <c r="L41" s="11">
        <f>((384*Input!$C$4*$J41*Input!$C$5)/(5*$F41*100000))^(1/4)</f>
        <v>6.1638983935388971</v>
      </c>
      <c r="M41" s="11">
        <f>((160*Input!$C$6*$J41)/(B41*$F41))^0.5</f>
        <v>7.585679257721992</v>
      </c>
      <c r="N41" s="11">
        <f>((384*Input!$C$4*$J41*Input!$C$5)/(($F41*100000)))^(1/4)</f>
        <v>9.2171779503498286</v>
      </c>
      <c r="O41" s="11">
        <f>((240*Input!$C$6*$J41)/($B41*$F41))^0.5</f>
        <v>9.2905217669165658</v>
      </c>
      <c r="P41" s="11">
        <f>((185*Input!$G$4*($J41/(2.54)^4)*(Input!$G$5))/($F41*0.00571))^(1/4)*25.4/1000</f>
        <v>7.6791400780767143</v>
      </c>
      <c r="Q41" s="11">
        <f>(((16*Input!$G$6*($J41/(2.54)^4))/(($B41/25.4)*($F41*0.00571)))^0.5)*25.4/1000</f>
        <v>7.5858361643950163</v>
      </c>
      <c r="R41" s="11">
        <f>((384*Input!$G$4*($J41/(2.54)^4)*(Input!$G$5))/($F41*0.00571))^(1/4)*25.4/1000</f>
        <v>9.2172732766350016</v>
      </c>
      <c r="S41" s="11">
        <f>(((24*Input!$G$6*($J41/(2.54)^4))/(($B41/25.4)*($F41*0.00571)))^0.5)*25.4/1000</f>
        <v>9.290713937559639</v>
      </c>
      <c r="T41" s="11">
        <f>((Input!$G$4*($J41/(2.54)^4)*(Input!$G$5))/(17.1*$F41*0.06854))^(1/4)*0.3048</f>
        <v>6.6012302048466509</v>
      </c>
      <c r="U41" s="11">
        <f>(((20*Input!$G$6*($J41/(2.54)^4))/(($B41/25.4)*($F41*0.00571)))^0.5)*25.4/1000</f>
        <v>8.4812226648817628</v>
      </c>
      <c r="V41" s="11">
        <f>((384*Input!$C$4*$J41*Input!$C$5)/(3*$F41*100000))^(1/4)</f>
        <v>7.0035407276768042</v>
      </c>
      <c r="W41" s="11">
        <f>(((200*Input!$C$6*($J41))/($B41*($F41)))^0.5)</f>
        <v>8.4810472378882604</v>
      </c>
      <c r="X41" s="11">
        <f t="shared" si="2"/>
        <v>6.1638983935388971</v>
      </c>
      <c r="Y41" s="26">
        <v>8.5</v>
      </c>
      <c r="Z41" s="26">
        <v>7.15</v>
      </c>
      <c r="AA41" s="26"/>
      <c r="AB41" s="32">
        <f t="shared" si="7"/>
        <v>1.159980185185199</v>
      </c>
      <c r="AC41" s="32">
        <f t="shared" si="3"/>
        <v>1.3789974229474393</v>
      </c>
      <c r="AD41" s="32">
        <f t="shared" si="4"/>
        <v>0.92219115718357059</v>
      </c>
    </row>
    <row r="42" spans="1:30" x14ac:dyDescent="0.2">
      <c r="A42" s="9">
        <v>8</v>
      </c>
      <c r="B42" s="6">
        <v>219.07</v>
      </c>
      <c r="C42" s="10" t="s">
        <v>5</v>
      </c>
      <c r="D42" s="7">
        <v>3.76</v>
      </c>
      <c r="E42" s="8">
        <v>120</v>
      </c>
      <c r="F42" s="8">
        <f t="shared" si="0"/>
        <v>540.57217932701053</v>
      </c>
      <c r="G42" s="8">
        <f>(3.14*(B42+E42)*E42*Input!C$2/1000000)*9.81</f>
        <v>250.66821211200005</v>
      </c>
      <c r="H42" s="8">
        <f>((3.14*(B42-2*D42)^2)/4*Input!C$3/1000000)*9.81</f>
        <v>344.63923964212489</v>
      </c>
      <c r="I42" s="8">
        <f>(Input!C$8/1067)*'Bare+Water'!B42</f>
        <v>3.3876804123711342</v>
      </c>
      <c r="J42" s="142">
        <f t="shared" si="1"/>
        <v>1474.8220729655541</v>
      </c>
      <c r="K42" s="11">
        <f>(Input!C$9*(Input!C$7+I42)*D42^2)/(0.644*F42*((B42/2)*D42)^0.5)</f>
        <v>13.861471847428117</v>
      </c>
      <c r="L42" s="11">
        <f>((384*Input!$C$4*$J42*Input!$C$5)/(5*$F42*100000))^(1/4)</f>
        <v>6.8584783027448157</v>
      </c>
      <c r="M42" s="11">
        <f>((160*Input!$C$6*$J42)/(B42*$F42))^0.5</f>
        <v>8.2309689753098567</v>
      </c>
      <c r="N42" s="11">
        <f>((384*Input!$C$4*$J42*Input!$C$5)/(($F42*100000)))^(1/4)</f>
        <v>10.255817171041643</v>
      </c>
      <c r="O42" s="11">
        <f>((240*Input!$C$6*$J42)/($B42*$F42))^0.5</f>
        <v>10.08083703909403</v>
      </c>
      <c r="P42" s="11">
        <f>((185*Input!$G$4*($J42/(2.54)^4)*(Input!$G$5))/($F42*0.00571))^(1/4)*25.4/1000</f>
        <v>8.5444652469342959</v>
      </c>
      <c r="Q42" s="11">
        <f>(((16*Input!$G$6*($J42/(2.54)^4))/(($B42/25.4)*($F42*0.00571)))^0.5)*25.4/1000</f>
        <v>8.231139229536776</v>
      </c>
      <c r="R42" s="11">
        <f>((384*Input!$G$4*($J42/(2.54)^4)*(Input!$G$5))/($F42*0.00571))^(1/4)*25.4/1000</f>
        <v>10.255923239185011</v>
      </c>
      <c r="S42" s="11">
        <f>(((24*Input!$G$6*($J42/(2.54)^4))/(($B42/25.4)*($F42*0.00571)))^0.5)*25.4/1000</f>
        <v>10.081045557085282</v>
      </c>
      <c r="T42" s="11">
        <f>((Input!$G$4*($J42/(2.54)^4)*(Input!$G$5))/(17.1*$F42*0.06854))^(1/4)*0.3048</f>
        <v>7.3450909214892057</v>
      </c>
      <c r="U42" s="11">
        <f>(((20*Input!$G$6*($J42/(2.54)^4))/(($B42/25.4)*($F42*0.00571)))^0.5)*25.4/1000</f>
        <v>9.2026934247547398</v>
      </c>
      <c r="V42" s="11">
        <f>((384*Input!$C$4*$J42*Input!$C$5)/(3*$F42*100000))^(1/4)</f>
        <v>7.792735872075804</v>
      </c>
      <c r="W42" s="11">
        <f>(((200*Input!$C$6*($J42))/($B42*($F42)))^0.5)</f>
        <v>9.2025030747423138</v>
      </c>
      <c r="X42" s="11">
        <f t="shared" si="2"/>
        <v>6.8584783027448157</v>
      </c>
      <c r="Y42" s="26">
        <v>10</v>
      </c>
      <c r="Z42" s="26">
        <v>8</v>
      </c>
      <c r="AA42" s="26"/>
      <c r="AB42" s="32">
        <f t="shared" si="7"/>
        <v>1.1664394996771132</v>
      </c>
      <c r="AC42" s="32">
        <f t="shared" si="3"/>
        <v>1.4580493745963916</v>
      </c>
      <c r="AD42" s="32">
        <f t="shared" si="4"/>
        <v>0.99198111835549574</v>
      </c>
    </row>
    <row r="43" spans="1:30" x14ac:dyDescent="0.2">
      <c r="A43" s="9">
        <v>10</v>
      </c>
      <c r="B43" s="6">
        <v>273.05</v>
      </c>
      <c r="C43" s="10" t="s">
        <v>5</v>
      </c>
      <c r="D43" s="7">
        <v>4.1900000000000004</v>
      </c>
      <c r="E43" s="8">
        <v>120</v>
      </c>
      <c r="F43" s="8">
        <f t="shared" si="0"/>
        <v>812.08995102540757</v>
      </c>
      <c r="G43" s="8">
        <f>(3.14*(B43+E43)*E43*Input!C$2/1000000)*9.81</f>
        <v>290.57463288000002</v>
      </c>
      <c r="H43" s="8">
        <f>((3.14*(B43-2*D43)^2)/4*Input!C$3/1000000)*9.81</f>
        <v>539.44615120756509</v>
      </c>
      <c r="I43" s="8">
        <f>(Input!C$8/1067)*'Bare+Water'!B43</f>
        <v>4.2224226804123717</v>
      </c>
      <c r="J43" s="142">
        <f t="shared" si="1"/>
        <v>3199.8146914381359</v>
      </c>
      <c r="K43" s="11">
        <f>(Input!C$9*(Input!C$7+I43)*D43^2)/(0.644*F43*((B43/2)*D43)^0.5)</f>
        <v>9.8007859656823282</v>
      </c>
      <c r="L43" s="11">
        <f>((384*Input!$C$4*$J43*Input!$C$5)/(5*$F43*100000))^(1/4)</f>
        <v>7.518590947230102</v>
      </c>
      <c r="M43" s="11">
        <f>((160*Input!$C$6*$J43)/(B43*$F43))^0.5</f>
        <v>8.8601016648839188</v>
      </c>
      <c r="N43" s="11">
        <f>((384*Input!$C$4*$J43*Input!$C$5)/(($F43*100000)))^(1/4)</f>
        <v>11.242915809441433</v>
      </c>
      <c r="O43" s="11">
        <f>((240*Input!$C$6*$J43)/($B43*$F43))^0.5</f>
        <v>10.85136407407466</v>
      </c>
      <c r="P43" s="11">
        <f>((185*Input!$G$4*($J43/(2.54)^4)*(Input!$G$5))/($F43*0.00571))^(1/4)*25.4/1000</f>
        <v>9.3668502281055783</v>
      </c>
      <c r="Q43" s="11">
        <f>(((16*Input!$G$6*($J43/(2.54)^4))/(($B43/25.4)*($F43*0.00571)))^0.5)*25.4/1000</f>
        <v>8.8602849324632178</v>
      </c>
      <c r="R43" s="11">
        <f>((384*Input!$G$4*($J43/(2.54)^4)*(Input!$G$5))/($F43*0.00571))^(1/4)*25.4/1000</f>
        <v>11.243032086397827</v>
      </c>
      <c r="S43" s="11">
        <f>(((24*Input!$G$6*($J43/(2.54)^4))/(($B43/25.4)*($F43*0.00571)))^0.5)*25.4/1000</f>
        <v>10.851588530102497</v>
      </c>
      <c r="T43" s="11">
        <f>((Input!$G$4*($J43/(2.54)^4)*(Input!$G$5))/(17.1*$F43*0.06854))^(1/4)*0.3048</f>
        <v>8.0520389029720185</v>
      </c>
      <c r="U43" s="11">
        <f>(((20*Input!$G$6*($J43/(2.54)^4))/(($B43/25.4)*($F43*0.00571)))^0.5)*25.4/1000</f>
        <v>9.9060997045024433</v>
      </c>
      <c r="V43" s="11">
        <f>((384*Input!$C$4*$J43*Input!$C$5)/(3*$F43*100000))^(1/4)</f>
        <v>8.5427686427900618</v>
      </c>
      <c r="W43" s="11">
        <f>(((200*Input!$C$6*($J43))/($B43*($F43)))^0.5)</f>
        <v>9.9058948051197522</v>
      </c>
      <c r="X43" s="11">
        <f t="shared" si="2"/>
        <v>7.518590947230102</v>
      </c>
      <c r="Y43" s="26">
        <v>11</v>
      </c>
      <c r="Z43" s="26">
        <v>8.75</v>
      </c>
      <c r="AA43" s="26"/>
      <c r="AB43" s="32">
        <f t="shared" si="7"/>
        <v>1.163781892300386</v>
      </c>
      <c r="AC43" s="32">
        <f t="shared" si="3"/>
        <v>1.4630400931776282</v>
      </c>
      <c r="AD43" s="32">
        <f t="shared" si="4"/>
        <v>1.0136974416221507</v>
      </c>
    </row>
    <row r="44" spans="1:30" x14ac:dyDescent="0.2">
      <c r="A44" s="9">
        <v>12</v>
      </c>
      <c r="B44" s="6">
        <v>323.85000000000002</v>
      </c>
      <c r="C44" s="10" t="s">
        <v>5</v>
      </c>
      <c r="D44" s="7">
        <v>4.57</v>
      </c>
      <c r="E44" s="8">
        <v>120</v>
      </c>
      <c r="F44" s="8">
        <f t="shared" si="0"/>
        <v>1115.8476250762769</v>
      </c>
      <c r="G44" s="8">
        <f>(3.14*(B44+E44)*E44*Input!C$2/1000000)*9.81</f>
        <v>328.13013816000006</v>
      </c>
      <c r="H44" s="8">
        <f>((3.14*(B44-2*D44)^2)/4*Input!C$3/1000000)*9.81</f>
        <v>762.71054359648531</v>
      </c>
      <c r="I44" s="8">
        <f>(Input!C$8/1067)*'Bare+Water'!B44</f>
        <v>5.0079896907216499</v>
      </c>
      <c r="J44" s="142">
        <f t="shared" si="1"/>
        <v>5844.496041878625</v>
      </c>
      <c r="K44" s="11">
        <f>(Input!C$9*(Input!C$7+I44)*D44^2)/(0.644*F44*((B44/2)*D44)^0.5)</f>
        <v>7.5166397000631431</v>
      </c>
      <c r="L44" s="11">
        <f>((384*Input!$C$4*$J44*Input!$C$5)/(5*$F44*100000))^(1/4)</f>
        <v>8.0731278160575144</v>
      </c>
      <c r="M44" s="11">
        <f>((160*Input!$C$6*$J44)/(B44*$F44))^0.5</f>
        <v>9.3799081751479445</v>
      </c>
      <c r="N44" s="11">
        <f>((384*Input!$C$4*$J44*Input!$C$5)/(($F44*100000)))^(1/4)</f>
        <v>12.07214184038474</v>
      </c>
      <c r="O44" s="11">
        <f>((240*Input!$C$6*$J44)/($B44*$F44))^0.5</f>
        <v>11.487994431636483</v>
      </c>
      <c r="P44" s="11">
        <f>((185*Input!$G$4*($J44/(2.54)^4)*(Input!$G$5))/($F44*0.00571))^(1/4)*25.4/1000</f>
        <v>10.057706245240356</v>
      </c>
      <c r="Q44" s="11">
        <f>(((16*Input!$G$6*($J44/(2.54)^4))/(($B44/25.4)*($F44*0.00571)))^0.5)*25.4/1000</f>
        <v>9.3801021947123129</v>
      </c>
      <c r="R44" s="11">
        <f>((384*Input!$G$4*($J44/(2.54)^4)*(Input!$G$5))/($F44*0.00571))^(1/4)*25.4/1000</f>
        <v>12.072266693397433</v>
      </c>
      <c r="S44" s="11">
        <f>(((24*Input!$G$6*($J44/(2.54)^4))/(($B44/25.4)*($F44*0.00571)))^0.5)*25.4/1000</f>
        <v>11.488232056102895</v>
      </c>
      <c r="T44" s="11">
        <f>((Input!$G$4*($J44/(2.54)^4)*(Input!$G$5))/(17.1*$F44*0.06854))^(1/4)*0.3048</f>
        <v>8.6459204523566946</v>
      </c>
      <c r="U44" s="11">
        <f>(((20*Input!$G$6*($J44/(2.54)^4))/(($B44/25.4)*($F44*0.00571)))^0.5)*25.4/1000</f>
        <v>10.487273071635853</v>
      </c>
      <c r="V44" s="11">
        <f>((384*Input!$C$4*$J44*Input!$C$5)/(3*$F44*100000))^(1/4)</f>
        <v>9.1728441725720149</v>
      </c>
      <c r="W44" s="11">
        <f>(((200*Input!$C$6*($J44))/($B44*($F44)))^0.5)</f>
        <v>10.487056151168403</v>
      </c>
      <c r="X44" s="11">
        <f t="shared" si="2"/>
        <v>8.0731278160575144</v>
      </c>
      <c r="Y44" s="26">
        <v>11.5</v>
      </c>
      <c r="Z44" s="26">
        <v>9.4</v>
      </c>
      <c r="AA44" s="26"/>
      <c r="AB44" s="32">
        <f t="shared" si="7"/>
        <v>1.1643566427009029</v>
      </c>
      <c r="AC44" s="32">
        <f t="shared" si="3"/>
        <v>1.4244788713894025</v>
      </c>
      <c r="AD44" s="32">
        <f t="shared" si="4"/>
        <v>1.0010450534629836</v>
      </c>
    </row>
    <row r="45" spans="1:30" x14ac:dyDescent="0.2">
      <c r="A45" s="9">
        <v>14</v>
      </c>
      <c r="B45" s="6">
        <v>355.6</v>
      </c>
      <c r="C45" s="10" t="s">
        <v>5</v>
      </c>
      <c r="D45" s="7">
        <v>4.78</v>
      </c>
      <c r="E45" s="8">
        <v>120</v>
      </c>
      <c r="F45" s="8">
        <f t="shared" si="0"/>
        <v>1327.9800920979308</v>
      </c>
      <c r="G45" s="8">
        <f>(3.14*(B45+E45)*E45*Input!C$2/1000000)*9.81</f>
        <v>351.60232896000002</v>
      </c>
      <c r="H45" s="8">
        <f>((3.14*(B45-2*D45)^2)/4*Input!C$3/1000000)*9.81</f>
        <v>922.12813044936013</v>
      </c>
      <c r="I45" s="8">
        <f>(Input!C$8/1067)*'Bare+Water'!B45</f>
        <v>5.4989690721649493</v>
      </c>
      <c r="J45" s="142">
        <f t="shared" si="1"/>
        <v>8109.3921922183499</v>
      </c>
      <c r="K45" s="11">
        <f>(Input!C$9*(Input!C$7+I45)*D45^2)/(0.644*F45*((B45/2)*D45)^0.5)</f>
        <v>6.4777107750376013</v>
      </c>
      <c r="L45" s="11">
        <f>((384*Input!$C$4*$J45*Input!$C$5)/(5*$F45*100000))^(1/4)</f>
        <v>8.3889087339851187</v>
      </c>
      <c r="M45" s="11">
        <f>((160*Input!$C$6*$J45)/(B45*$F45))^0.5</f>
        <v>9.6653357229120616</v>
      </c>
      <c r="N45" s="11">
        <f>((384*Input!$C$4*$J45*Input!$C$5)/(($F45*100000)))^(1/4)</f>
        <v>12.544344451140697</v>
      </c>
      <c r="O45" s="11">
        <f>((240*Input!$C$6*$J45)/($B45*$F45))^0.5</f>
        <v>11.837570356914464</v>
      </c>
      <c r="P45" s="11">
        <f>((185*Input!$G$4*($J45/(2.54)^4)*(Input!$G$5))/($F45*0.00571))^(1/4)*25.4/1000</f>
        <v>10.451114077090985</v>
      </c>
      <c r="Q45" s="11">
        <f>(((16*Input!$G$6*($J45/(2.54)^4))/(($B45/25.4)*($F45*0.00571)))^0.5)*25.4/1000</f>
        <v>9.6655356464285216</v>
      </c>
      <c r="R45" s="11">
        <f>((384*Input!$G$4*($J45/(2.54)^4)*(Input!$G$5))/($F45*0.00571))^(1/4)*25.4/1000</f>
        <v>12.544474187787079</v>
      </c>
      <c r="S45" s="11">
        <f>(((24*Input!$G$6*($J45/(2.54)^4))/(($B45/25.4)*($F45*0.00571)))^0.5)*25.4/1000</f>
        <v>11.83781521221592</v>
      </c>
      <c r="T45" s="11">
        <f>((Input!$G$4*($J45/(2.54)^4)*(Input!$G$5))/(17.1*$F45*0.06854))^(1/4)*0.3048</f>
        <v>8.9841061913888236</v>
      </c>
      <c r="U45" s="11">
        <f>(((20*Input!$G$6*($J45/(2.54)^4))/(($B45/25.4)*($F45*0.00571)))^0.5)*25.4/1000</f>
        <v>10.806397372180776</v>
      </c>
      <c r="V45" s="11">
        <f>((384*Input!$C$4*$J45*Input!$C$5)/(3*$F45*100000))^(1/4)</f>
        <v>9.5316405670822419</v>
      </c>
      <c r="W45" s="11">
        <f>(((200*Input!$C$6*($J45))/($B45*($F45)))^0.5)</f>
        <v>10.80617385089422</v>
      </c>
      <c r="X45" s="11">
        <f t="shared" si="2"/>
        <v>8.3889087339851187</v>
      </c>
      <c r="Y45" s="26">
        <v>11.5</v>
      </c>
      <c r="Z45" s="26">
        <v>9.8000000000000007</v>
      </c>
      <c r="AA45" s="26"/>
      <c r="AB45" s="32">
        <f t="shared" si="7"/>
        <v>1.1682091569667785</v>
      </c>
      <c r="AC45" s="32">
        <f t="shared" si="3"/>
        <v>1.3708576841957094</v>
      </c>
      <c r="AD45" s="32">
        <f t="shared" si="4"/>
        <v>0.97148313828459865</v>
      </c>
    </row>
    <row r="46" spans="1:30" x14ac:dyDescent="0.2">
      <c r="A46" s="9">
        <v>16</v>
      </c>
      <c r="B46" s="6">
        <v>406.4</v>
      </c>
      <c r="C46" s="10" t="s">
        <v>5</v>
      </c>
      <c r="D46" s="7">
        <v>4.78</v>
      </c>
      <c r="E46" s="8">
        <v>120</v>
      </c>
      <c r="F46" s="8">
        <f t="shared" si="0"/>
        <v>1677.3659367825021</v>
      </c>
      <c r="G46" s="8">
        <f>(3.14*(B46+E46)*E46*Input!C$2/1000000)*9.81</f>
        <v>389.15783424000006</v>
      </c>
      <c r="H46" s="8">
        <f>((3.14*(B46-2*D46)^2)/4*Input!C$3/1000000)*9.81</f>
        <v>1212.74514880776</v>
      </c>
      <c r="I46" s="8">
        <f>(Input!C$8/1067)*'Bare+Water'!B46</f>
        <v>6.2845360824742267</v>
      </c>
      <c r="J46" s="142">
        <f t="shared" si="1"/>
        <v>12166.402054575447</v>
      </c>
      <c r="K46" s="11">
        <f>(Input!C$9*(Input!C$7+I46)*D46^2)/(0.644*F46*((B46/2)*D46)^0.5)</f>
        <v>4.8329376285453209</v>
      </c>
      <c r="L46" s="11">
        <f>((384*Input!$C$4*$J46*Input!$C$5)/(5*$F46*100000))^(1/4)</f>
        <v>8.7576961014688877</v>
      </c>
      <c r="M46" s="11">
        <f>((160*Input!$C$6*$J46)/(B46*$F46))^0.5</f>
        <v>9.8534830228479322</v>
      </c>
      <c r="N46" s="11">
        <f>((384*Input!$C$4*$J46*Input!$C$5)/(($F46*100000)))^(1/4)</f>
        <v>13.095810191637332</v>
      </c>
      <c r="O46" s="11">
        <f>((240*Input!$C$6*$J46)/($B46*$F46))^0.5</f>
        <v>12.068002797577098</v>
      </c>
      <c r="P46" s="11">
        <f>((185*Input!$G$4*($J46/(2.54)^4)*(Input!$G$5))/($F46*0.00571))^(1/4)*25.4/1000</f>
        <v>10.910558680671976</v>
      </c>
      <c r="Q46" s="11">
        <f>(((16*Input!$G$6*($J46/(2.54)^4))/(($B46/25.4)*($F46*0.00571)))^0.5)*25.4/1000</f>
        <v>9.8536868381143439</v>
      </c>
      <c r="R46" s="11">
        <f>((384*Input!$G$4*($J46/(2.54)^4)*(Input!$G$5))/($F46*0.00571))^(1/4)*25.4/1000</f>
        <v>13.095945631675878</v>
      </c>
      <c r="S46" s="11">
        <f>(((24*Input!$G$6*($J46/(2.54)^4))/(($B46/25.4)*($F46*0.00571)))^0.5)*25.4/1000</f>
        <v>12.068252419279345</v>
      </c>
      <c r="T46" s="11">
        <f>((Input!$G$4*($J46/(2.54)^4)*(Input!$G$5))/(17.1*$F46*0.06854))^(1/4)*0.3048</f>
        <v>9.3790592152659791</v>
      </c>
      <c r="U46" s="11">
        <f>(((20*Input!$G$6*($J46/(2.54)^4))/(($B46/25.4)*($F46*0.00571)))^0.5)*25.4/1000</f>
        <v>11.016756799509318</v>
      </c>
      <c r="V46" s="11">
        <f>((384*Input!$C$4*$J46*Input!$C$5)/(3*$F46*100000))^(1/4)</f>
        <v>9.9506639161258672</v>
      </c>
      <c r="W46" s="11">
        <f>(((200*Input!$C$6*($J46))/($B46*($F46)))^0.5)</f>
        <v>11.016528927114045</v>
      </c>
      <c r="X46" s="11">
        <f t="shared" si="2"/>
        <v>8.7576961014688877</v>
      </c>
      <c r="Y46" s="26">
        <v>12.5</v>
      </c>
      <c r="Z46" s="26">
        <v>10.199999999999999</v>
      </c>
      <c r="AA46" s="26"/>
      <c r="AB46" s="32">
        <f t="shared" si="7"/>
        <v>1.1646898775454426</v>
      </c>
      <c r="AC46" s="32">
        <f t="shared" si="3"/>
        <v>1.4273160264037288</v>
      </c>
      <c r="AD46" s="32">
        <f t="shared" si="4"/>
        <v>1.0357969093700936</v>
      </c>
    </row>
    <row r="47" spans="1:30" x14ac:dyDescent="0.2">
      <c r="A47" s="9">
        <v>18</v>
      </c>
      <c r="B47" s="6">
        <v>457.2</v>
      </c>
      <c r="C47" s="10" t="s">
        <v>5</v>
      </c>
      <c r="D47" s="7">
        <v>4.78</v>
      </c>
      <c r="E47" s="8">
        <v>120</v>
      </c>
      <c r="F47" s="8">
        <f t="shared" si="0"/>
        <v>2066.4980245550737</v>
      </c>
      <c r="G47" s="8">
        <f>(3.14*(B47+E47)*E47*Input!C$2/1000000)*9.81</f>
        <v>426.71333952000003</v>
      </c>
      <c r="H47" s="8">
        <f>((3.14*(B47-2*D47)^2)/4*Input!C$3/1000000)*9.81</f>
        <v>1543.1084102541602</v>
      </c>
      <c r="I47" s="8">
        <f>(Input!C$8/1067)*'Bare+Water'!B47</f>
        <v>7.0701030927835049</v>
      </c>
      <c r="J47" s="142">
        <f t="shared" si="1"/>
        <v>17391.158649707962</v>
      </c>
      <c r="K47" s="11">
        <f>(Input!C$9*(Input!C$7+I47)*D47^2)/(0.644*F47*((B47/2)*D47)^0.5)</f>
        <v>3.7258545218185142</v>
      </c>
      <c r="L47" s="11">
        <f>((384*Input!$C$4*$J47*Input!$C$5)/(5*$F47*100000))^(1/4)</f>
        <v>9.0892838274423191</v>
      </c>
      <c r="M47" s="11">
        <f>((160*Input!$C$6*$J47)/(B47*$F47))^0.5</f>
        <v>10.00675115994054</v>
      </c>
      <c r="N47" s="11">
        <f>((384*Input!$C$4*$J47*Input!$C$5)/(($F47*100000)))^(1/4)</f>
        <v>13.591649493539625</v>
      </c>
      <c r="O47" s="11">
        <f>((240*Input!$C$6*$J47)/($B47*$F47))^0.5</f>
        <v>12.25571716242901</v>
      </c>
      <c r="P47" s="11">
        <f>((185*Input!$G$4*($J47/(2.54)^4)*(Input!$G$5))/($F47*0.00571))^(1/4)*25.4/1000</f>
        <v>11.323659032648905</v>
      </c>
      <c r="Q47" s="11">
        <f>(((16*Input!$G$6*($J47/(2.54)^4))/(($B47/25.4)*($F47*0.00571)))^0.5)*25.4/1000</f>
        <v>10.006958145495684</v>
      </c>
      <c r="R47" s="11">
        <f>((384*Input!$G$4*($J47/(2.54)^4)*(Input!$G$5))/($F47*0.00571))^(1/4)*25.4/1000</f>
        <v>13.591790061668233</v>
      </c>
      <c r="S47" s="11">
        <f>(((24*Input!$G$6*($J47/(2.54)^4))/(($B47/25.4)*($F47*0.00571)))^0.5)*25.4/1000</f>
        <v>12.255970666926125</v>
      </c>
      <c r="T47" s="11">
        <f>((Input!$G$4*($J47/(2.54)^4)*(Input!$G$5))/(17.1*$F47*0.06854))^(1/4)*0.3048</f>
        <v>9.734173263632945</v>
      </c>
      <c r="U47" s="11">
        <f>(((20*Input!$G$6*($J47/(2.54)^4))/(($B47/25.4)*($F47*0.00571)))^0.5)*25.4/1000</f>
        <v>11.18811933066179</v>
      </c>
      <c r="V47" s="11">
        <f>((384*Input!$C$4*$J47*Input!$C$5)/(3*$F47*100000))^(1/4)</f>
        <v>10.327420312059804</v>
      </c>
      <c r="W47" s="11">
        <f>(((200*Input!$C$6*($J47))/($B47*($F47)))^0.5)</f>
        <v>11.18788791377596</v>
      </c>
      <c r="X47" s="11">
        <f t="shared" si="2"/>
        <v>9.0892838274423191</v>
      </c>
      <c r="Y47" s="26">
        <v>13</v>
      </c>
      <c r="Z47" s="26">
        <v>10.6</v>
      </c>
      <c r="AA47" s="26"/>
      <c r="AB47" s="32">
        <f t="shared" si="7"/>
        <v>1.1662084935665156</v>
      </c>
      <c r="AC47" s="32">
        <f t="shared" si="3"/>
        <v>1.4302556996570475</v>
      </c>
      <c r="AD47" s="32">
        <f t="shared" si="4"/>
        <v>1.0607294397958738</v>
      </c>
    </row>
    <row r="48" spans="1:30" x14ac:dyDescent="0.2">
      <c r="A48" s="9">
        <v>20</v>
      </c>
      <c r="B48" s="6">
        <v>508</v>
      </c>
      <c r="C48" s="10" t="s">
        <v>5</v>
      </c>
      <c r="D48" s="7">
        <v>5.54</v>
      </c>
      <c r="E48" s="8">
        <v>140</v>
      </c>
      <c r="F48" s="8">
        <f t="shared" si="0"/>
        <v>2575.2671214708307</v>
      </c>
      <c r="G48" s="8">
        <f>(3.14*(B48+E48)*E48*Input!C$2/1000000)*9.81</f>
        <v>558.89688960000001</v>
      </c>
      <c r="H48" s="8">
        <f>((3.14*(B48-2*D48)^2)/4*Input!C$3/1000000)*9.81</f>
        <v>1901.5669353434403</v>
      </c>
      <c r="I48" s="8">
        <f>(Input!C$8/1067)*'Bare+Water'!B48</f>
        <v>7.855670103092784</v>
      </c>
      <c r="J48" s="142">
        <f t="shared" si="1"/>
        <v>27611.741380886502</v>
      </c>
      <c r="K48" s="11">
        <f>(Input!C$9*(Input!C$7+I48)*D48^2)/(0.644*F48*((B48/2)*D48)^0.5)</f>
        <v>3.5649826643315512</v>
      </c>
      <c r="L48" s="11">
        <f>((384*Input!$C$4*$J48*Input!$C$5)/(5*$F48*100000))^(1/4)</f>
        <v>9.656598238229023</v>
      </c>
      <c r="M48" s="11">
        <f>((160*Input!$C$6*$J48)/(B48*$F48))^0.5</f>
        <v>10.715275720873807</v>
      </c>
      <c r="N48" s="11">
        <f>((384*Input!$C$4*$J48*Input!$C$5)/(($F48*100000)))^(1/4)</f>
        <v>14.439982406278759</v>
      </c>
      <c r="O48" s="11">
        <f>((240*Input!$C$6*$J48)/($B48*$F48))^0.5</f>
        <v>13.123478984687006</v>
      </c>
      <c r="P48" s="11">
        <f>((185*Input!$G$4*($J48/(2.54)^4)*(Input!$G$5))/($F48*0.00571))^(1/4)*25.4/1000</f>
        <v>12.030433633818381</v>
      </c>
      <c r="Q48" s="11">
        <f>(((16*Input!$G$6*($J48/(2.54)^4))/(($B48/25.4)*($F48*0.00571)))^0.5)*25.4/1000</f>
        <v>10.715497361969717</v>
      </c>
      <c r="R48" s="11">
        <f>((384*Input!$G$4*($J48/(2.54)^4)*(Input!$G$5))/($F48*0.00571))^(1/4)*25.4/1000</f>
        <v>14.440131748071677</v>
      </c>
      <c r="S48" s="11">
        <f>(((24*Input!$G$6*($J48/(2.54)^4))/(($B48/25.4)*($F48*0.00571)))^0.5)*25.4/1000</f>
        <v>13.123750438482514</v>
      </c>
      <c r="T48" s="11">
        <f>((Input!$G$4*($J48/(2.54)^4)*(Input!$G$5))/(17.1*$F48*0.06854))^(1/4)*0.3048</f>
        <v>10.341738928254468</v>
      </c>
      <c r="U48" s="11">
        <f>(((20*Input!$G$6*($J48/(2.54)^4))/(($B48/25.4)*($F48*0.00571)))^0.5)*25.4/1000</f>
        <v>11.980290257041979</v>
      </c>
      <c r="V48" s="11">
        <f>((384*Input!$C$4*$J48*Input!$C$5)/(3*$F48*100000))^(1/4)</f>
        <v>10.972013932471752</v>
      </c>
      <c r="W48" s="11">
        <f>(((200*Input!$C$6*($J48))/($B48*($F48)))^0.5)</f>
        <v>11.980042454763446</v>
      </c>
      <c r="X48" s="11">
        <f t="shared" si="2"/>
        <v>9.656598238229023</v>
      </c>
      <c r="Y48" s="26">
        <v>13</v>
      </c>
      <c r="Z48" s="26">
        <v>10.8</v>
      </c>
      <c r="AA48" s="26"/>
      <c r="AB48" s="32">
        <f t="shared" si="7"/>
        <v>1.1184062682906721</v>
      </c>
      <c r="AC48" s="32">
        <f t="shared" si="3"/>
        <v>1.3462297673869201</v>
      </c>
      <c r="AD48" s="32">
        <f t="shared" si="4"/>
        <v>0.99059098697600789</v>
      </c>
    </row>
    <row r="49" spans="1:30" x14ac:dyDescent="0.2">
      <c r="A49" s="9">
        <v>24</v>
      </c>
      <c r="B49" s="6">
        <v>609.6</v>
      </c>
      <c r="C49" s="10" t="s">
        <v>5</v>
      </c>
      <c r="D49" s="7">
        <v>6.35</v>
      </c>
      <c r="E49" s="8">
        <v>140</v>
      </c>
      <c r="F49" s="8">
        <f t="shared" si="0"/>
        <v>3670.8325942475508</v>
      </c>
      <c r="G49" s="8">
        <f>(3.14*(B49+E49)*E49*Input!C$2/1000000)*9.81</f>
        <v>646.52640192000013</v>
      </c>
      <c r="H49" s="8">
        <f>((3.14*(B49-2*D49)^2)/4*Input!C$3/1000000)*9.81</f>
        <v>2743.7328431685005</v>
      </c>
      <c r="I49" s="8">
        <f>(Input!C$8/1067)*'Bare+Water'!B49</f>
        <v>9.4268041237113405</v>
      </c>
      <c r="J49" s="142">
        <f t="shared" si="1"/>
        <v>54769.729135176691</v>
      </c>
      <c r="K49" s="11">
        <f>(Input!C$9*(Input!C$7+I49)*D49^2)/(0.644*F49*((B49/2)*D49)^0.5)</f>
        <v>2.842504613636927</v>
      </c>
      <c r="L49" s="11">
        <f>((384*Input!$C$4*$J49*Input!$C$5)/(5*$F49*100000))^(1/4)</f>
        <v>10.488183763481674</v>
      </c>
      <c r="M49" s="11">
        <f>((160*Input!$C$6*$J49)/(B49*$F49))^0.5</f>
        <v>11.538915091075017</v>
      </c>
      <c r="N49" s="11">
        <f>((384*Input!$C$4*$J49*Input!$C$5)/(($F49*100000)))^(1/4)</f>
        <v>15.683492807946511</v>
      </c>
      <c r="O49" s="11">
        <f>((240*Input!$C$6*$J49)/($B49*$F49))^0.5</f>
        <v>14.132227079217136</v>
      </c>
      <c r="P49" s="11">
        <f>((185*Input!$G$4*($J49/(2.54)^4)*(Input!$G$5))/($F49*0.00571))^(1/4)*25.4/1000</f>
        <v>13.066443854559511</v>
      </c>
      <c r="Q49" s="11">
        <f>(((16*Input!$G$6*($J49/(2.54)^4))/(($B49/25.4)*($F49*0.00571)))^0.5)*25.4/1000</f>
        <v>11.539153768814444</v>
      </c>
      <c r="R49" s="11">
        <f>((384*Input!$G$4*($J49/(2.54)^4)*(Input!$G$5))/($F49*0.00571))^(1/4)*25.4/1000</f>
        <v>15.683655010424966</v>
      </c>
      <c r="S49" s="11">
        <f>(((24*Input!$G$6*($J49/(2.54)^4))/(($B49/25.4)*($F49*0.00571)))^0.5)*25.4/1000</f>
        <v>14.132519398554416</v>
      </c>
      <c r="T49" s="11">
        <f>((Input!$G$4*($J49/(2.54)^4)*(Input!$G$5))/(17.1*$F49*0.06854))^(1/4)*0.3048</f>
        <v>11.232325880979907</v>
      </c>
      <c r="U49" s="11">
        <f>(((20*Input!$G$6*($J49/(2.54)^4))/(($B49/25.4)*($F49*0.00571)))^0.5)*25.4/1000</f>
        <v>12.901166114945994</v>
      </c>
      <c r="V49" s="11">
        <f>((384*Input!$C$4*$J49*Input!$C$5)/(3*$F49*100000))^(1/4)</f>
        <v>11.91687751113786</v>
      </c>
      <c r="W49" s="11">
        <f>(((200*Input!$C$6*($J49))/($B49*($F49)))^0.5)</f>
        <v>12.900899265120957</v>
      </c>
      <c r="X49" s="11">
        <f t="shared" si="2"/>
        <v>10.488183763481674</v>
      </c>
      <c r="Y49" s="26">
        <v>14</v>
      </c>
      <c r="Z49" s="26">
        <v>12.2</v>
      </c>
      <c r="AA49" s="26"/>
      <c r="AB49" s="32">
        <f t="shared" si="7"/>
        <v>1.1632137913600085</v>
      </c>
      <c r="AC49" s="32">
        <f t="shared" si="3"/>
        <v>1.334835498281977</v>
      </c>
      <c r="AD49" s="32">
        <f t="shared" si="4"/>
        <v>0.99064357808037284</v>
      </c>
    </row>
  </sheetData>
  <sheetProtection algorithmName="SHA-512" hashValue="ub9eOpGF9dJ398SouUCK+Fi06F9xm+WHYpgR/L8TG1XknxjdahcI4OlpSCAz6mPmVy7QE61q7TsddHAhQ0wqDA==" saltValue="zrNWSH2pSF1x6S+YdFMiXw==" spinCount="100000" sheet="1" objects="1" scenarios="1" autoFilter="0"/>
  <autoFilter ref="A2:AB49" xr:uid="{00000000-0009-0000-0000-000003000000}">
    <filterColumn colId="25" showButton="0"/>
  </autoFilter>
  <mergeCells count="6">
    <mergeCell ref="V1:W1"/>
    <mergeCell ref="L1:M1"/>
    <mergeCell ref="N1:O1"/>
    <mergeCell ref="P1:Q1"/>
    <mergeCell ref="R1:S1"/>
    <mergeCell ref="T1:U1"/>
  </mergeCells>
  <conditionalFormatting sqref="Y3:AA3">
    <cfRule type="expression" dxfId="7" priority="2">
      <formula>Y3=MIN($Y3:$AA3)</formula>
    </cfRule>
  </conditionalFormatting>
  <conditionalFormatting sqref="Y4:AA49">
    <cfRule type="expression" dxfId="6" priority="1">
      <formula>Y4=MIN($Y4:$AA4)</formula>
    </cfRule>
  </conditionalFormatting>
  <conditionalFormatting sqref="L3:W49">
    <cfRule type="expression" dxfId="5" priority="3">
      <formula>L3=MAX($L3:$W3)</formula>
    </cfRule>
  </conditionalFormatting>
  <conditionalFormatting sqref="L3:W49">
    <cfRule type="expression" dxfId="4" priority="4">
      <formula>L3=MIN($L3:$W3)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D49"/>
  <sheetViews>
    <sheetView tabSelected="1" zoomScale="115" zoomScaleNormal="115" workbookViewId="0">
      <pane xSplit="5" ySplit="2" topLeftCell="N3" activePane="bottomRight" state="frozen"/>
      <selection pane="topRight" activeCell="F1" sqref="F1"/>
      <selection pane="bottomLeft" activeCell="A3" sqref="A3"/>
      <selection pane="bottomRight" activeCell="W37" sqref="N37:W37"/>
    </sheetView>
  </sheetViews>
  <sheetFormatPr defaultRowHeight="12.75" x14ac:dyDescent="0.2"/>
  <cols>
    <col min="1" max="1" width="9.7109375" style="2" bestFit="1" customWidth="1"/>
    <col min="2" max="2" width="8.42578125" style="4" bestFit="1" customWidth="1"/>
    <col min="3" max="3" width="6.85546875" style="2" bestFit="1" customWidth="1"/>
    <col min="4" max="4" width="9" style="2" bestFit="1" customWidth="1"/>
    <col min="5" max="5" width="9" style="3" bestFit="1" customWidth="1"/>
    <col min="6" max="6" width="9.140625" style="3" customWidth="1"/>
    <col min="7" max="7" width="11.5703125" style="3" bestFit="1" customWidth="1"/>
    <col min="8" max="8" width="9.42578125" style="3" bestFit="1" customWidth="1"/>
    <col min="9" max="9" width="13.85546875" style="3" bestFit="1" customWidth="1"/>
    <col min="10" max="10" width="12.7109375" style="13" customWidth="1"/>
    <col min="11" max="11" width="11.7109375" style="14" customWidth="1"/>
    <col min="12" max="12" width="12.140625" style="2" customWidth="1"/>
    <col min="13" max="13" width="12.28515625" style="2" customWidth="1"/>
    <col min="14" max="14" width="14.7109375" style="2" bestFit="1" customWidth="1"/>
    <col min="15" max="15" width="11" style="2" bestFit="1" customWidth="1"/>
    <col min="16" max="16" width="12.42578125" style="2" customWidth="1"/>
    <col min="17" max="17" width="11" style="2" customWidth="1"/>
    <col min="18" max="19" width="11.28515625" style="2" customWidth="1"/>
    <col min="20" max="20" width="12.28515625" style="2" customWidth="1"/>
    <col min="21" max="21" width="12.140625" style="2" customWidth="1"/>
    <col min="22" max="22" width="11.7109375" style="2" customWidth="1"/>
    <col min="23" max="23" width="11.28515625" style="2" customWidth="1"/>
    <col min="24" max="24" width="8.7109375" style="2" customWidth="1"/>
    <col min="25" max="27" width="10.42578125" style="2" customWidth="1"/>
    <col min="28" max="28" width="9.28515625" style="2" customWidth="1"/>
    <col min="29" max="29" width="8.28515625" style="2" customWidth="1"/>
    <col min="30" max="30" width="8.85546875" style="2"/>
  </cols>
  <sheetData>
    <row r="1" spans="1:30" s="20" customFormat="1" ht="33.6" customHeight="1" x14ac:dyDescent="0.2">
      <c r="A1" s="15" t="s">
        <v>11</v>
      </c>
      <c r="B1" s="15" t="s">
        <v>0</v>
      </c>
      <c r="C1" s="15" t="s">
        <v>12</v>
      </c>
      <c r="D1" s="15" t="s">
        <v>13</v>
      </c>
      <c r="E1" s="16" t="s">
        <v>15</v>
      </c>
      <c r="F1" s="17" t="s">
        <v>63</v>
      </c>
      <c r="G1" s="16" t="s">
        <v>21</v>
      </c>
      <c r="H1" s="16" t="s">
        <v>22</v>
      </c>
      <c r="I1" s="16" t="s">
        <v>30</v>
      </c>
      <c r="J1" s="18" t="s">
        <v>23</v>
      </c>
      <c r="K1" s="19" t="s">
        <v>28</v>
      </c>
      <c r="L1" s="146" t="s">
        <v>39</v>
      </c>
      <c r="M1" s="146"/>
      <c r="N1" s="147" t="s">
        <v>42</v>
      </c>
      <c r="O1" s="147"/>
      <c r="P1" s="151" t="s">
        <v>51</v>
      </c>
      <c r="Q1" s="151"/>
      <c r="R1" s="148" t="s">
        <v>36</v>
      </c>
      <c r="S1" s="148"/>
      <c r="T1" s="149" t="s">
        <v>47</v>
      </c>
      <c r="U1" s="149"/>
      <c r="V1" s="150" t="s">
        <v>46</v>
      </c>
      <c r="W1" s="150"/>
      <c r="X1" s="29" t="s">
        <v>50</v>
      </c>
      <c r="Y1" s="152" t="s">
        <v>150</v>
      </c>
      <c r="Z1" s="153"/>
      <c r="AA1" s="154"/>
      <c r="AB1" s="15" t="s">
        <v>35</v>
      </c>
      <c r="AC1" s="15" t="s">
        <v>35</v>
      </c>
      <c r="AD1" s="15" t="s">
        <v>59</v>
      </c>
    </row>
    <row r="2" spans="1:30" s="20" customFormat="1" ht="28.5" customHeight="1" x14ac:dyDescent="0.2">
      <c r="A2" s="15"/>
      <c r="B2" s="15"/>
      <c r="C2" s="15"/>
      <c r="D2" s="15" t="s">
        <v>3</v>
      </c>
      <c r="E2" s="16" t="s">
        <v>3</v>
      </c>
      <c r="F2" s="16" t="s">
        <v>25</v>
      </c>
      <c r="G2" s="16" t="s">
        <v>25</v>
      </c>
      <c r="H2" s="16" t="s">
        <v>25</v>
      </c>
      <c r="I2" s="16" t="s">
        <v>3</v>
      </c>
      <c r="J2" s="18" t="s">
        <v>26</v>
      </c>
      <c r="K2" s="19" t="s">
        <v>27</v>
      </c>
      <c r="L2" s="15" t="s">
        <v>41</v>
      </c>
      <c r="M2" s="15" t="s">
        <v>40</v>
      </c>
      <c r="N2" s="15" t="s">
        <v>41</v>
      </c>
      <c r="O2" s="15" t="s">
        <v>40</v>
      </c>
      <c r="P2" s="15" t="s">
        <v>41</v>
      </c>
      <c r="Q2" s="15" t="s">
        <v>40</v>
      </c>
      <c r="R2" s="15" t="s">
        <v>41</v>
      </c>
      <c r="S2" s="15" t="s">
        <v>40</v>
      </c>
      <c r="T2" s="15" t="s">
        <v>41</v>
      </c>
      <c r="U2" s="15" t="s">
        <v>40</v>
      </c>
      <c r="V2" s="15" t="s">
        <v>41</v>
      </c>
      <c r="W2" s="15" t="s">
        <v>40</v>
      </c>
      <c r="X2" s="15" t="s">
        <v>49</v>
      </c>
      <c r="Y2" s="15" t="s">
        <v>151</v>
      </c>
      <c r="Z2" s="15" t="s">
        <v>152</v>
      </c>
      <c r="AA2" s="15" t="s">
        <v>153</v>
      </c>
      <c r="AB2" s="15" t="s">
        <v>34</v>
      </c>
      <c r="AC2" s="15" t="s">
        <v>48</v>
      </c>
      <c r="AD2" s="15" t="s">
        <v>60</v>
      </c>
    </row>
    <row r="3" spans="1:30" hidden="1" x14ac:dyDescent="0.2">
      <c r="A3" s="5">
        <v>0.75</v>
      </c>
      <c r="B3" s="6">
        <v>26.67</v>
      </c>
      <c r="C3" s="5" t="s">
        <v>7</v>
      </c>
      <c r="D3" s="7">
        <v>2.87</v>
      </c>
      <c r="E3" s="8">
        <v>40</v>
      </c>
      <c r="F3" s="8">
        <f>(((3.1428*(B3^2-(B3-2*D3)^2)/4)*7.85/1000)*9.81)+G3+H3</f>
        <v>36.334349675587809</v>
      </c>
      <c r="G3" s="8">
        <f>(3.14*(B3+E3)*E3*Input!C$2/1000000)*9.81</f>
        <v>16.429301424000002</v>
      </c>
      <c r="H3" s="8">
        <f>((3.14*(B3-2*D3)^2)/4*Input!C$3/1000000)*9.81</f>
        <v>3.3734720851650004</v>
      </c>
      <c r="I3" s="8">
        <f>(Input!C$8/1067)*'Insul+Water'!B3</f>
        <v>0.41242268041237118</v>
      </c>
      <c r="J3" s="12">
        <f>((3.1428*(B3^4-(B3-(2*D3))^4)/64))/10000</f>
        <v>1.5420886888190499</v>
      </c>
      <c r="K3" s="11">
        <f>(Input!C$9*(Input!C$7+I3)*D3^2)/(0.644*F3*((B3/2)*D3)^0.5)</f>
        <v>382.81180731043952</v>
      </c>
      <c r="L3" s="11">
        <f>((384*Input!$C$4*$J3*Input!$C$5)/(5*$F3*100000))^(1/4)</f>
        <v>2.4221680689861964</v>
      </c>
      <c r="M3" s="11">
        <f>((160*Input!$C$6*$J3)/(B3*$F3))^0.5</f>
        <v>2.9422794743524281</v>
      </c>
      <c r="N3" s="11">
        <f>((384*Input!$C$4*$J3*Input!$C$5)/(($F3*100000)))^(1/4)</f>
        <v>3.6219860698714661</v>
      </c>
      <c r="O3" s="11">
        <f>((240*Input!$C$6*$J3)/($B3*$F3))^0.5</f>
        <v>3.6035416964138767</v>
      </c>
      <c r="P3" s="11">
        <f>((185*Input!$G$4*($J3/(2.54)^4)*(Input!$G$5))/($F3*0.00571))^(1/4)*25.4/1000</f>
        <v>3.017598069735639</v>
      </c>
      <c r="Q3" s="11">
        <f>(((16*Input!$G$6*($J3/(2.54)^4))/(($B3/25.4)*($F3*0.00571)))^0.5)*25.4/1000</f>
        <v>2.9423403342000101</v>
      </c>
      <c r="R3" s="11">
        <f>((384*Input!$G$4*($J3/(2.54)^4)*(Input!$G$5))/($F3*0.00571))^(1/4)*25.4/1000</f>
        <v>3.6220235293280196</v>
      </c>
      <c r="S3" s="11">
        <f>(((24*Input!$G$6*($J3/(2.54)^4))/(($B3/25.4)*($F3*0.00571)))^0.5)*25.4/1000</f>
        <v>3.6036162342000764</v>
      </c>
      <c r="T3" s="11">
        <f>((Input!$G$4*($J3/(2.54)^4)*(Input!$G$5))/(17.1*$F3*0.06854))^(1/4)*0.3048</f>
        <v>2.5940221589257546</v>
      </c>
      <c r="U3" s="11">
        <f>(((20*Input!$G$6*($J3/(2.54)^4))/(($B3/25.4)*($F3*0.00571)))^0.5)*25.4/1000</f>
        <v>3.289636500105336</v>
      </c>
      <c r="V3" s="11">
        <f>((384*Input!$C$4*$J3*Input!$C$5)/(3*$F3*100000))^(1/4)</f>
        <v>2.7521142688213023</v>
      </c>
      <c r="W3" s="11">
        <f>(((200*Input!$C$6*($J3))/($B3*($F3)))^0.5)</f>
        <v>3.289568456727189</v>
      </c>
      <c r="X3" s="11">
        <f>MIN(L3:W3)</f>
        <v>2.4221680689861964</v>
      </c>
      <c r="Y3" s="26">
        <v>3.5</v>
      </c>
      <c r="Z3" s="26">
        <v>3</v>
      </c>
      <c r="AA3" s="26">
        <v>2</v>
      </c>
      <c r="AB3" s="27" t="s">
        <v>6</v>
      </c>
      <c r="AC3" s="27" t="s">
        <v>6</v>
      </c>
      <c r="AD3" s="26"/>
    </row>
    <row r="4" spans="1:30" hidden="1" x14ac:dyDescent="0.2">
      <c r="A4" s="5">
        <v>1</v>
      </c>
      <c r="B4" s="6">
        <v>33.4</v>
      </c>
      <c r="C4" s="5" t="s">
        <v>7</v>
      </c>
      <c r="D4" s="7">
        <v>3.38</v>
      </c>
      <c r="E4" s="8">
        <v>40</v>
      </c>
      <c r="F4" s="8">
        <f t="shared" ref="F4:F49" si="0">(((3.1428*(B4^2-(B4-2*D4)^2)/4)*7.85/1000)*9.81)+G4+H4</f>
        <v>48.110392963892878</v>
      </c>
      <c r="G4" s="8">
        <f>(3.14*(B4+E4)*E4*Input!C$2/1000000)*9.81</f>
        <v>18.087756480000003</v>
      </c>
      <c r="H4" s="8">
        <f>((3.14*(B4-2*D4)^2)/4*Input!C$3/1000000)*9.81</f>
        <v>5.4652131561600008</v>
      </c>
      <c r="I4" s="8">
        <f>(Input!C$8/1067)*'Insul+Water'!B4</f>
        <v>0.51649484536082479</v>
      </c>
      <c r="J4" s="12">
        <f t="shared" ref="J4:J49" si="1">((3.1428*(B4^4-(B4-(2*D4))^4)/64))/10000</f>
        <v>3.6378636048273156</v>
      </c>
      <c r="K4" s="11">
        <f>(Input!C$9*(Input!C$7+I4)*D4^2)/(0.644*F4*((B4/2)*D4)^0.5)</f>
        <v>330.52489936917482</v>
      </c>
      <c r="L4" s="11">
        <f>((384*Input!$C$4*$J4*Input!$C$5)/(5*$F4*100000))^(1/4)</f>
        <v>2.7983894928584907</v>
      </c>
      <c r="M4" s="11">
        <f>((160*Input!$C$6*$J4)/(B4*$F4))^0.5</f>
        <v>3.5093765544122659</v>
      </c>
      <c r="N4" s="11">
        <f>((384*Input!$C$4*$J4*Input!$C$5)/(($F4*100000)))^(1/4)</f>
        <v>4.1845683175282131</v>
      </c>
      <c r="O4" s="11">
        <f>((240*Input!$C$6*$J4)/($B4*$F4))^0.5</f>
        <v>4.2980909367983084</v>
      </c>
      <c r="P4" s="11">
        <f>((185*Input!$G$4*($J4/(2.54)^4)*(Input!$G$5))/($F4*0.00571))^(1/4)*25.4/1000</f>
        <v>3.4863042082594626</v>
      </c>
      <c r="Q4" s="11">
        <f>(((16*Input!$G$6*($J4/(2.54)^4))/(($B4/25.4)*($F4*0.00571)))^0.5)*25.4/1000</f>
        <v>3.5094491444310152</v>
      </c>
      <c r="R4" s="11">
        <f>((384*Input!$G$4*($J4/(2.54)^4)*(Input!$G$5))/($F4*0.00571))^(1/4)*25.4/1000</f>
        <v>4.1846115953465324</v>
      </c>
      <c r="S4" s="11">
        <f>(((24*Input!$G$6*($J4/(2.54)^4))/(($B4/25.4)*($F4*0.00571)))^0.5)*25.4/1000</f>
        <v>4.2981798410514855</v>
      </c>
      <c r="T4" s="11">
        <f>((Input!$G$4*($J4/(2.54)^4)*(Input!$G$5))/(17.1*$F4*0.06854))^(1/4)*0.3048</f>
        <v>2.9969366893760734</v>
      </c>
      <c r="U4" s="11">
        <f>(((20*Input!$G$6*($J4/(2.54)^4))/(($B4/25.4)*($F4*0.00571)))^0.5)*25.4/1000</f>
        <v>3.9236834252631136</v>
      </c>
      <c r="V4" s="11">
        <f>((384*Input!$C$4*$J4*Input!$C$5)/(3*$F4*100000))^(1/4)</f>
        <v>3.179584336704981</v>
      </c>
      <c r="W4" s="11">
        <f>(((200*Input!$C$6*($J4))/($B4*($F4)))^0.5)</f>
        <v>3.9236022671549078</v>
      </c>
      <c r="X4" s="11">
        <f t="shared" ref="X4:X49" si="2">MIN(L4:W4)</f>
        <v>2.7983894928584907</v>
      </c>
      <c r="Y4" s="26">
        <v>4.5</v>
      </c>
      <c r="Z4" s="26">
        <v>3.5</v>
      </c>
      <c r="AA4" s="26">
        <v>3</v>
      </c>
      <c r="AB4" s="26">
        <v>3.2</v>
      </c>
      <c r="AC4" s="26">
        <v>5</v>
      </c>
      <c r="AD4" s="32">
        <f>AB4/MIN(L4:W4)</f>
        <v>1.1435148710236449</v>
      </c>
    </row>
    <row r="5" spans="1:30" hidden="1" x14ac:dyDescent="0.2">
      <c r="A5" s="5">
        <v>1.5</v>
      </c>
      <c r="B5" s="6">
        <v>48.26</v>
      </c>
      <c r="C5" s="5" t="s">
        <v>7</v>
      </c>
      <c r="D5" s="7">
        <v>3.68</v>
      </c>
      <c r="E5" s="8">
        <v>50</v>
      </c>
      <c r="F5" s="8">
        <f t="shared" si="0"/>
        <v>82.854305205570711</v>
      </c>
      <c r="G5" s="8">
        <f>(3.14*(B5+E5)*E5*Input!C$2/1000000)*9.81</f>
        <v>30.267420839999996</v>
      </c>
      <c r="H5" s="8">
        <f>((3.14*(B5-2*D5)^2)/4*Input!C$3/1000000)*9.81</f>
        <v>12.882058888500001</v>
      </c>
      <c r="I5" s="8">
        <f>(Input!C$8/1067)*'Insul+Water'!B5</f>
        <v>0.74628865979381442</v>
      </c>
      <c r="J5" s="12">
        <f t="shared" si="1"/>
        <v>12.895675761083153</v>
      </c>
      <c r="K5" s="11">
        <f>(Input!C$9*(Input!C$7+I5)*D5^2)/(0.644*F5*((B5/2)*D5)^0.5)</f>
        <v>181.80087911840454</v>
      </c>
      <c r="L5" s="11">
        <f>((384*Input!$C$4*$J5*Input!$C$5)/(5*$F5*100000))^(1/4)</f>
        <v>3.3518806075944423</v>
      </c>
      <c r="M5" s="11">
        <f>((160*Input!$C$6*$J5)/(B5*$F5))^0.5</f>
        <v>4.1886136500018116</v>
      </c>
      <c r="N5" s="11">
        <f>((384*Input!$C$4*$J5*Input!$C$5)/(($F5*100000)))^(1/4)</f>
        <v>5.0122305813653929</v>
      </c>
      <c r="O5" s="11">
        <f>((240*Input!$C$6*$J5)/($B5*$F5))^0.5</f>
        <v>5.1299830860805233</v>
      </c>
      <c r="P5" s="11">
        <f>((185*Input!$G$4*($J5/(2.54)^4)*(Input!$G$5))/($F5*0.00571))^(1/4)*25.4/1000</f>
        <v>4.1758573985721839</v>
      </c>
      <c r="Q5" s="11">
        <f>(((16*Input!$G$6*($J5/(2.54)^4))/(($B5/25.4)*($F5*0.00571)))^0.5)*25.4/1000</f>
        <v>4.1887002897620862</v>
      </c>
      <c r="R5" s="11">
        <f>((384*Input!$G$4*($J5/(2.54)^4)*(Input!$G$5))/($F5*0.00571))^(1/4)*25.4/1000</f>
        <v>5.0122824190671613</v>
      </c>
      <c r="S5" s="11">
        <f>(((24*Input!$G$6*($J5/(2.54)^4))/(($B5/25.4)*($F5*0.00571)))^0.5)*25.4/1000</f>
        <v>5.1300891976825778</v>
      </c>
      <c r="T5" s="11">
        <f>((Input!$G$4*($J5/(2.54)^4)*(Input!$G$5))/(17.1*$F5*0.06854))^(1/4)*0.3048</f>
        <v>3.5896982878701529</v>
      </c>
      <c r="U5" s="11">
        <f>(((20*Input!$G$6*($J5/(2.54)^4))/(($B5/25.4)*($F5*0.00571)))^0.5)*25.4/1000</f>
        <v>4.6831092926405455</v>
      </c>
      <c r="V5" s="11">
        <f>((384*Input!$C$4*$J5*Input!$C$5)/(3*$F5*100000))^(1/4)</f>
        <v>3.8084716604356541</v>
      </c>
      <c r="W5" s="11">
        <f>(((200*Input!$C$6*($J5))/($B5*($F5)))^0.5)</f>
        <v>4.6830124264437814</v>
      </c>
      <c r="X5" s="11">
        <f t="shared" si="2"/>
        <v>3.3518806075944423</v>
      </c>
      <c r="Y5" s="26">
        <v>5</v>
      </c>
      <c r="Z5" s="26">
        <v>4.5</v>
      </c>
      <c r="AA5" s="26">
        <v>3.5</v>
      </c>
      <c r="AB5" s="26">
        <v>3.75</v>
      </c>
      <c r="AC5" s="26">
        <v>6.1</v>
      </c>
      <c r="AD5" s="32">
        <f>AB5/MIN(L5:W5)</f>
        <v>1.1187749323479865</v>
      </c>
    </row>
    <row r="6" spans="1:30" x14ac:dyDescent="0.2">
      <c r="A6" s="5">
        <v>2</v>
      </c>
      <c r="B6" s="6">
        <v>60.32</v>
      </c>
      <c r="C6" s="5" t="s">
        <v>7</v>
      </c>
      <c r="D6" s="7">
        <v>3.91</v>
      </c>
      <c r="E6" s="8">
        <v>50</v>
      </c>
      <c r="F6" s="8">
        <f t="shared" si="0"/>
        <v>108.58897049340075</v>
      </c>
      <c r="G6" s="8">
        <f>(3.14*(B6+E6)*E6*Input!C$2/1000000)*9.81</f>
        <v>33.98231088</v>
      </c>
      <c r="H6" s="8">
        <f>((3.14*(B6-2*D6)^2)/4*Input!C$3/1000000)*9.81</f>
        <v>21.2254678125</v>
      </c>
      <c r="I6" s="8">
        <f>(Input!C$8/1067)*'Insul+Water'!B6</f>
        <v>0.93278350515463926</v>
      </c>
      <c r="J6" s="12">
        <f t="shared" si="1"/>
        <v>27.70469366885397</v>
      </c>
      <c r="K6" s="11">
        <f>(Input!C$9*(Input!C$7+I6)*D6^2)/(0.644*F6*((B6/2)*D6)^0.5)</f>
        <v>136.13974645423895</v>
      </c>
      <c r="L6" s="11">
        <f>((384*Input!$C$4*$J6*Input!$C$5)/(5*$F6*100000))^(1/4)</f>
        <v>3.7926973984375971</v>
      </c>
      <c r="M6" s="11">
        <f>((160*Input!$C$6*$J6)/(B6*$F6))^0.5</f>
        <v>4.7968109418920903</v>
      </c>
      <c r="N6" s="11">
        <f>((384*Input!$C$4*$J6*Input!$C$5)/(($F6*100000)))^(1/4)</f>
        <v>5.6714054322945548</v>
      </c>
      <c r="O6" s="11">
        <f>((240*Input!$C$6*$J6)/($B6*$F6))^0.5</f>
        <v>5.8748696001173943</v>
      </c>
      <c r="P6" s="11">
        <f>((185*Input!$G$4*($J6/(2.54)^4)*(Input!$G$5))/($F6*0.00571))^(1/4)*25.4/1000</f>
        <v>4.7250380744251714</v>
      </c>
      <c r="Q6" s="11">
        <f>(((16*Input!$G$6*($J6/(2.54)^4))/(($B6/25.4)*($F6*0.00571)))^0.5)*25.4/1000</f>
        <v>4.7969101619646048</v>
      </c>
      <c r="R6" s="11">
        <f>((384*Input!$G$4*($J6/(2.54)^4)*(Input!$G$5))/($F6*0.00571))^(1/4)*25.4/1000</f>
        <v>5.6714640873421702</v>
      </c>
      <c r="S6" s="11">
        <f>(((24*Input!$G$6*($J6/(2.54)^4))/(($B6/25.4)*($F6*0.00571)))^0.5)*25.4/1000</f>
        <v>5.8749911193923454</v>
      </c>
      <c r="T6" s="11">
        <f>((Input!$G$4*($J6/(2.54)^4)*(Input!$G$5))/(17.1*$F6*0.06854))^(1/4)*0.3048</f>
        <v>4.0617912603253199</v>
      </c>
      <c r="U6" s="11">
        <f>(((20*Input!$G$6*($J6/(2.54)^4))/(($B6/25.4)*($F6*0.00571)))^0.5)*25.4/1000</f>
        <v>5.3631086020561902</v>
      </c>
      <c r="V6" s="11">
        <f>((384*Input!$C$4*$J6*Input!$C$5)/(3*$F6*100000))^(1/4)</f>
        <v>4.3093362352557003</v>
      </c>
      <c r="W6" s="11">
        <f>(((200*Input!$C$6*($J6))/($B6*($F6)))^0.5)</f>
        <v>5.3629976706427529</v>
      </c>
      <c r="X6" s="11">
        <f t="shared" si="2"/>
        <v>3.7926973984375971</v>
      </c>
      <c r="Y6" s="26">
        <v>5</v>
      </c>
      <c r="Z6" s="26">
        <v>4.5</v>
      </c>
      <c r="AA6" s="26">
        <v>3.5</v>
      </c>
      <c r="AB6" s="26">
        <v>4</v>
      </c>
      <c r="AC6" s="26">
        <v>6.6</v>
      </c>
      <c r="AD6" s="32">
        <f>AB6/MIN(L6:W6)</f>
        <v>1.0546583551980184</v>
      </c>
    </row>
    <row r="7" spans="1:30" x14ac:dyDescent="0.2">
      <c r="A7" s="5">
        <v>2.5</v>
      </c>
      <c r="B7" s="6">
        <v>73.02</v>
      </c>
      <c r="C7" s="5" t="s">
        <v>7</v>
      </c>
      <c r="D7" s="7">
        <v>5.16</v>
      </c>
      <c r="E7" s="8">
        <v>50</v>
      </c>
      <c r="F7" s="8">
        <f t="shared" si="0"/>
        <v>152.91456982315484</v>
      </c>
      <c r="G7" s="8">
        <f>(3.14*(B7+E7)*E7*Input!C$2/1000000)*9.81</f>
        <v>37.894342680000001</v>
      </c>
      <c r="H7" s="8">
        <f>((3.14*(B7-2*D7)^2)/4*Input!C$3/1000000)*9.81</f>
        <v>30.2742745965</v>
      </c>
      <c r="I7" s="8">
        <f>(Input!C$8/1067)*'Insul+Water'!B7</f>
        <v>1.1291752577319587</v>
      </c>
      <c r="J7" s="12">
        <f t="shared" si="1"/>
        <v>63.712089330080417</v>
      </c>
      <c r="K7" s="11">
        <f>(Input!C$9*(Input!C$7+I7)*D7^2)/(0.644*F7*((B7/2)*D7)^0.5)</f>
        <v>133.47046374542856</v>
      </c>
      <c r="L7" s="11">
        <f>((384*Input!$C$4*$J7*Input!$C$5)/(5*$F7*100000))^(1/4)</f>
        <v>4.2874545529099244</v>
      </c>
      <c r="M7" s="11">
        <f>((160*Input!$C$6*$J7)/(B7*$F7))^0.5</f>
        <v>5.5714087961460681</v>
      </c>
      <c r="N7" s="11">
        <f>((384*Input!$C$4*$J7*Input!$C$5)/(($F7*100000)))^(1/4)</f>
        <v>6.4112399402352285</v>
      </c>
      <c r="O7" s="11">
        <f>((240*Input!$C$6*$J7)/($B7*$F7))^0.5</f>
        <v>6.8235543495058844</v>
      </c>
      <c r="P7" s="11">
        <f>((185*Input!$G$4*($J7/(2.54)^4)*(Input!$G$5))/($F7*0.00571))^(1/4)*25.4/1000</f>
        <v>5.3414190157148811</v>
      </c>
      <c r="Q7" s="11">
        <f>(((16*Input!$G$6*($J7/(2.54)^4))/(($B7/25.4)*($F7*0.00571)))^0.5)*25.4/1000</f>
        <v>5.5715240384584002</v>
      </c>
      <c r="R7" s="11">
        <f>((384*Input!$G$4*($J7/(2.54)^4)*(Input!$G$5))/($F7*0.00571))^(1/4)*25.4/1000</f>
        <v>6.4113062468303852</v>
      </c>
      <c r="S7" s="11">
        <f>(((24*Input!$G$6*($J7/(2.54)^4))/(($B7/25.4)*($F7*0.00571)))^0.5)*25.4/1000</f>
        <v>6.8236954919368795</v>
      </c>
      <c r="T7" s="11">
        <f>((Input!$G$4*($J7/(2.54)^4)*(Input!$G$5))/(17.1*$F7*0.06854))^(1/4)*0.3048</f>
        <v>4.5916516933899185</v>
      </c>
      <c r="U7" s="11">
        <f>(((20*Input!$G$6*($J7/(2.54)^4))/(($B7/25.4)*($F7*0.00571)))^0.5)*25.4/1000</f>
        <v>6.2291532441335677</v>
      </c>
      <c r="V7" s="11">
        <f>((384*Input!$C$4*$J7*Input!$C$5)/(3*$F7*100000))^(1/4)</f>
        <v>4.87148889586551</v>
      </c>
      <c r="W7" s="11">
        <f>(((200*Input!$C$6*($J7))/($B7*($F7)))^0.5)</f>
        <v>6.2290243993114389</v>
      </c>
      <c r="X7" s="11">
        <f t="shared" si="2"/>
        <v>4.2874545529099244</v>
      </c>
      <c r="Y7" s="26">
        <v>6</v>
      </c>
      <c r="Z7" s="26">
        <v>5.5</v>
      </c>
      <c r="AA7" s="26">
        <v>4.5</v>
      </c>
      <c r="AB7" s="26" t="s">
        <v>6</v>
      </c>
      <c r="AC7" s="26" t="s">
        <v>6</v>
      </c>
      <c r="AD7" s="33" t="s">
        <v>6</v>
      </c>
    </row>
    <row r="8" spans="1:30" hidden="1" x14ac:dyDescent="0.2">
      <c r="A8" s="9">
        <v>3</v>
      </c>
      <c r="B8" s="6">
        <v>88.9</v>
      </c>
      <c r="C8" s="5" t="s">
        <v>7</v>
      </c>
      <c r="D8" s="7">
        <v>5.49</v>
      </c>
      <c r="E8" s="8">
        <v>100</v>
      </c>
      <c r="F8" s="8">
        <f t="shared" si="0"/>
        <v>273.95823503281849</v>
      </c>
      <c r="G8" s="8">
        <f>(3.14*(B8+E8)*E8*Input!C$2/1000000)*9.81</f>
        <v>116.37524520000004</v>
      </c>
      <c r="H8" s="8">
        <f>((3.14*(B8-2*D8)^2)/4*Input!C$3/1000000)*9.81</f>
        <v>46.755914077440003</v>
      </c>
      <c r="I8" s="8">
        <f>(Input!C$8/1067)*'Insul+Water'!B8</f>
        <v>1.3747422680412373</v>
      </c>
      <c r="J8" s="12">
        <f t="shared" si="1"/>
        <v>125.6987191076508</v>
      </c>
      <c r="K8" s="11">
        <f>(Input!C$9*(Input!C$7+I8)*D8^2)/(0.644*F8*((B8/2)*D8)^0.5)</f>
        <v>74.277447803421296</v>
      </c>
      <c r="L8" s="11">
        <f>((384*Input!$C$4*$J8*Input!$C$5)/(5*$F8*100000))^(1/4)</f>
        <v>4.3920563927530303</v>
      </c>
      <c r="M8" s="11">
        <f>((160*Input!$C$6*$J8)/(B8*$F8))^0.5</f>
        <v>5.2987303086846733</v>
      </c>
      <c r="N8" s="11">
        <f>((384*Input!$C$4*$J8*Input!$C$5)/(($F8*100000)))^(1/4)</f>
        <v>6.5676561739581132</v>
      </c>
      <c r="O8" s="11">
        <f>((240*Input!$C$6*$J8)/($B8*$F8))^0.5</f>
        <v>6.4895927704487253</v>
      </c>
      <c r="P8" s="11">
        <f>((185*Input!$G$4*($J8/(2.54)^4)*(Input!$G$5))/($F8*0.00571))^(1/4)*25.4/1000</f>
        <v>5.4717346259497495</v>
      </c>
      <c r="Q8" s="11">
        <f>(((16*Input!$G$6*($J8/(2.54)^4))/(($B8/25.4)*($F8*0.00571)))^0.5)*25.4/1000</f>
        <v>5.2988399107540127</v>
      </c>
      <c r="R8" s="11">
        <f>((384*Input!$G$4*($J8/(2.54)^4)*(Input!$G$5))/($F8*0.00571))^(1/4)*25.4/1000</f>
        <v>6.5677240982478136</v>
      </c>
      <c r="S8" s="11">
        <f>(((24*Input!$G$6*($J8/(2.54)^4))/(($B8/25.4)*($F8*0.00571)))^0.5)*25.4/1000</f>
        <v>6.4897270050210425</v>
      </c>
      <c r="T8" s="11">
        <f>((Input!$G$4*($J8/(2.54)^4)*(Input!$G$5))/(17.1*$F8*0.06854))^(1/4)*0.3048</f>
        <v>4.703675088418402</v>
      </c>
      <c r="U8" s="11">
        <f>(((20*Input!$G$6*($J8/(2.54)^4))/(($B8/25.4)*($F8*0.00571)))^0.5)*25.4/1000</f>
        <v>5.9242831211674467</v>
      </c>
      <c r="V8" s="11">
        <f>((384*Input!$C$4*$J8*Input!$C$5)/(3*$F8*100000))^(1/4)</f>
        <v>4.9903395320633788</v>
      </c>
      <c r="W8" s="11">
        <f>(((200*Input!$C$6*($J8))/($B8*($F8)))^0.5)</f>
        <v>5.9241605823286871</v>
      </c>
      <c r="X8" s="11">
        <f t="shared" si="2"/>
        <v>4.3920563927530303</v>
      </c>
      <c r="Y8" s="26">
        <v>6.5</v>
      </c>
      <c r="Z8" s="26">
        <v>6</v>
      </c>
      <c r="AA8" s="26">
        <v>5</v>
      </c>
      <c r="AB8" s="26">
        <v>4.4000000000000004</v>
      </c>
      <c r="AC8" s="26">
        <v>7.4</v>
      </c>
      <c r="AD8" s="32">
        <f t="shared" ref="AD8:AD18" si="3">AB8/MIN(L8:W8)</f>
        <v>1.0018086305221574</v>
      </c>
    </row>
    <row r="9" spans="1:30" hidden="1" x14ac:dyDescent="0.2">
      <c r="A9" s="9">
        <v>4</v>
      </c>
      <c r="B9" s="6">
        <v>114.3</v>
      </c>
      <c r="C9" s="5" t="s">
        <v>7</v>
      </c>
      <c r="D9" s="7">
        <v>6.02</v>
      </c>
      <c r="E9" s="8">
        <v>100</v>
      </c>
      <c r="F9" s="8">
        <f t="shared" si="0"/>
        <v>370.31316981380945</v>
      </c>
      <c r="G9" s="8">
        <f>(3.14*(B9+E9)*E9*Input!C$2/1000000)*9.81</f>
        <v>132.02337240000003</v>
      </c>
      <c r="H9" s="8">
        <f>((3.14*(B9-2*D9)^2)/4*Input!C$3/1000000)*9.81</f>
        <v>80.528617061459997</v>
      </c>
      <c r="I9" s="8">
        <f>(Input!C$8/1067)*'Insul+Water'!B9</f>
        <v>1.7675257731958762</v>
      </c>
      <c r="J9" s="12">
        <f t="shared" si="1"/>
        <v>301.16764717117178</v>
      </c>
      <c r="K9" s="11">
        <f>(Input!C$9*(Input!C$7+I9)*D9^2)/(0.644*F9*((B9/2)*D9)^0.5)</f>
        <v>55.861888436884058</v>
      </c>
      <c r="L9" s="11">
        <f>((384*Input!$C$4*$J9*Input!$C$5)/(5*$F9*100000))^(1/4)</f>
        <v>5.0677604072220435</v>
      </c>
      <c r="M9" s="11">
        <f>((160*Input!$C$6*$J9)/(B9*$F9))^0.5</f>
        <v>6.2215115816021749</v>
      </c>
      <c r="N9" s="11">
        <f>((384*Input!$C$4*$J9*Input!$C$5)/(($F9*100000)))^(1/4)</f>
        <v>7.5780693484606401</v>
      </c>
      <c r="O9" s="11">
        <f>((240*Input!$C$6*$J9)/($B9*$F9))^0.5</f>
        <v>7.6197644018706381</v>
      </c>
      <c r="P9" s="11">
        <f>((185*Input!$G$4*($J9/(2.54)^4)*(Input!$G$5))/($F9*0.00571))^(1/4)*25.4/1000</f>
        <v>6.3135437290759997</v>
      </c>
      <c r="Q9" s="11">
        <f>(((16*Input!$G$6*($J9/(2.54)^4))/(($B9/25.4)*($F9*0.00571)))^0.5)*25.4/1000</f>
        <v>6.221640271024742</v>
      </c>
      <c r="R9" s="11">
        <f>((384*Input!$G$4*($J9/(2.54)^4)*(Input!$G$5))/($F9*0.00571))^(1/4)*25.4/1000</f>
        <v>7.5781477226879357</v>
      </c>
      <c r="S9" s="11">
        <f>(((24*Input!$G$6*($J9/(2.54)^4))/(($B9/25.4)*($F9*0.00571)))^0.5)*25.4/1000</f>
        <v>7.6199220135809291</v>
      </c>
      <c r="T9" s="11">
        <f>((Input!$G$4*($J9/(2.54)^4)*(Input!$G$5))/(17.1*$F9*0.06854))^(1/4)*0.3048</f>
        <v>5.4273206557308917</v>
      </c>
      <c r="U9" s="11">
        <f>(((20*Input!$G$6*($J9/(2.54)^4))/(($B9/25.4)*($F9*0.00571)))^0.5)*25.4/1000</f>
        <v>6.9560052887807693</v>
      </c>
      <c r="V9" s="11">
        <f>((384*Input!$C$4*$J9*Input!$C$5)/(3*$F9*100000))^(1/4)</f>
        <v>5.7580875193029071</v>
      </c>
      <c r="W9" s="11">
        <f>(((200*Input!$C$6*($J9))/($B9*($F9)))^0.5)</f>
        <v>6.9558614096323472</v>
      </c>
      <c r="X9" s="11">
        <f t="shared" si="2"/>
        <v>5.0677604072220435</v>
      </c>
      <c r="Y9" s="26">
        <v>7.5</v>
      </c>
      <c r="Z9" s="26">
        <v>7</v>
      </c>
      <c r="AA9" s="26">
        <v>6</v>
      </c>
      <c r="AB9" s="26">
        <v>5.95</v>
      </c>
      <c r="AC9" s="26">
        <v>8.5</v>
      </c>
      <c r="AD9" s="32">
        <f t="shared" si="3"/>
        <v>1.1740886549254934</v>
      </c>
    </row>
    <row r="10" spans="1:30" hidden="1" x14ac:dyDescent="0.2">
      <c r="A10" s="9">
        <v>6</v>
      </c>
      <c r="B10" s="6">
        <v>168.27</v>
      </c>
      <c r="C10" s="5" t="s">
        <v>7</v>
      </c>
      <c r="D10" s="7">
        <v>7.11</v>
      </c>
      <c r="E10" s="8">
        <v>100</v>
      </c>
      <c r="F10" s="8">
        <f t="shared" si="0"/>
        <v>625.34522071630192</v>
      </c>
      <c r="G10" s="8">
        <f>(3.14*(B10+E10)*E10*Input!C$2/1000000)*9.81</f>
        <v>165.27256236000002</v>
      </c>
      <c r="H10" s="8">
        <f>((3.14*(B10-2*D10)^2)/4*Input!C$3/1000000)*9.81</f>
        <v>182.75197094212504</v>
      </c>
      <c r="I10" s="8">
        <f>(Input!C$8/1067)*'Insul+Water'!B10</f>
        <v>2.6021134020618559</v>
      </c>
      <c r="J10" s="12">
        <f t="shared" si="1"/>
        <v>1171.4199313728818</v>
      </c>
      <c r="K10" s="11">
        <f>(Input!C$9*(Input!C$7+I10)*D10^2)/(0.644*F10*((B10/2)*D10)^0.5)</f>
        <v>35.281046477904361</v>
      </c>
      <c r="L10" s="11">
        <f>((384*Input!$C$4*$J10*Input!$C$5)/(5*$F10*100000))^(1/4)</f>
        <v>6.2431601853145615</v>
      </c>
      <c r="M10" s="11">
        <f>((160*Input!$C$6*$J10)/(B10*$F10))^0.5</f>
        <v>7.7820226326484452</v>
      </c>
      <c r="N10" s="11">
        <f>((384*Input!$C$4*$J10*Input!$C$5)/(($F10*100000)))^(1/4)</f>
        <v>9.3357019740789795</v>
      </c>
      <c r="O10" s="11">
        <f>((240*Input!$C$6*$J10)/($B10*$F10))^0.5</f>
        <v>9.5309923083894557</v>
      </c>
      <c r="P10" s="11">
        <f>((185*Input!$G$4*($J10/(2.54)^4)*(Input!$G$5))/($F10*0.00571))^(1/4)*25.4/1000</f>
        <v>7.7778864173289417</v>
      </c>
      <c r="Q10" s="11">
        <f>(((16*Input!$G$6*($J10/(2.54)^4))/(($B10/25.4)*($F10*0.00571)))^0.5)*25.4/1000</f>
        <v>7.7821836006038794</v>
      </c>
      <c r="R10" s="11">
        <f>((384*Input!$G$4*($J10/(2.54)^4)*(Input!$G$5))/($F10*0.00571))^(1/4)*25.4/1000</f>
        <v>9.3357985261682881</v>
      </c>
      <c r="S10" s="11">
        <f>(((24*Input!$G$6*($J10/(2.54)^4))/(($B10/25.4)*($F10*0.00571)))^0.5)*25.4/1000</f>
        <v>9.5311894530673307</v>
      </c>
      <c r="T10" s="11">
        <f>((Input!$G$4*($J10/(2.54)^4)*(Input!$G$5))/(17.1*$F10*0.06854))^(1/4)*0.3048</f>
        <v>6.6861156621585707</v>
      </c>
      <c r="U10" s="11">
        <f>(((20*Input!$G$6*($J10/(2.54)^4))/(($B10/25.4)*($F10*0.00571)))^0.5)*25.4/1000</f>
        <v>8.7007457721671742</v>
      </c>
      <c r="V10" s="11">
        <f>((384*Input!$C$4*$J10*Input!$C$5)/(3*$F10*100000))^(1/4)</f>
        <v>7.0935995105132266</v>
      </c>
      <c r="W10" s="11">
        <f>(((200*Input!$C$6*($J10))/($B10*($F10)))^0.5)</f>
        <v>8.700565804521899</v>
      </c>
      <c r="X10" s="11">
        <f t="shared" si="2"/>
        <v>6.2431601853145615</v>
      </c>
      <c r="Y10" s="26">
        <v>9</v>
      </c>
      <c r="Z10" s="26">
        <v>8</v>
      </c>
      <c r="AA10" s="26">
        <v>7.5</v>
      </c>
      <c r="AB10" s="26">
        <v>7</v>
      </c>
      <c r="AC10" s="26"/>
      <c r="AD10" s="32">
        <f t="shared" si="3"/>
        <v>1.1212270376252256</v>
      </c>
    </row>
    <row r="11" spans="1:30" hidden="1" x14ac:dyDescent="0.2">
      <c r="A11" s="9">
        <v>8</v>
      </c>
      <c r="B11" s="6">
        <v>219.07</v>
      </c>
      <c r="C11" s="5" t="s">
        <v>7</v>
      </c>
      <c r="D11" s="7">
        <v>8.18</v>
      </c>
      <c r="E11" s="8">
        <v>120</v>
      </c>
      <c r="F11" s="8">
        <f t="shared" si="0"/>
        <v>984.61439081905178</v>
      </c>
      <c r="G11" s="8">
        <f>(3.14*(B11+E11)*E11*Input!C$2/1000000)*9.81</f>
        <v>250.66821211200005</v>
      </c>
      <c r="H11" s="8">
        <f>((3.14*(B11-2*D11)^2)/4*Input!C$3/1000000)*9.81</f>
        <v>316.43827721248505</v>
      </c>
      <c r="I11" s="8">
        <f>(Input!C$8/1067)*'Insul+Water'!B11</f>
        <v>3.3876804123711342</v>
      </c>
      <c r="J11" s="12">
        <f t="shared" si="1"/>
        <v>3018.5677673902569</v>
      </c>
      <c r="K11" s="11">
        <f>(Input!C$9*(Input!C$7+I11)*D11^2)/(0.644*F11*((B11/2)*D11)^0.5)</f>
        <v>24.419965567119316</v>
      </c>
      <c r="L11" s="11">
        <f>((384*Input!$C$4*$J11*Input!$C$5)/(5*$F11*100000))^(1/4)</f>
        <v>7.0613863281913289</v>
      </c>
      <c r="M11" s="11">
        <f>((160*Input!$C$6*$J11)/(B11*$F11))^0.5</f>
        <v>8.7251996118430704</v>
      </c>
      <c r="N11" s="11">
        <f>((384*Input!$C$4*$J11*Input!$C$5)/(($F11*100000)))^(1/4)</f>
        <v>10.559235439593094</v>
      </c>
      <c r="O11" s="11">
        <f>((240*Input!$C$6*$J11)/($B11*$F11))^0.5</f>
        <v>10.686143476472685</v>
      </c>
      <c r="P11" s="11">
        <f>((185*Input!$G$4*($J11/(2.54)^4)*(Input!$G$5))/($F11*0.00571))^(1/4)*25.4/1000</f>
        <v>8.7972531825698042</v>
      </c>
      <c r="Q11" s="11">
        <f>(((16*Input!$G$6*($J11/(2.54)^4))/(($B11/25.4)*($F11*0.00571)))^0.5)*25.4/1000</f>
        <v>8.7253800890285742</v>
      </c>
      <c r="R11" s="11">
        <f>((384*Input!$G$4*($J11/(2.54)^4)*(Input!$G$5))/($F11*0.00571))^(1/4)*25.4/1000</f>
        <v>10.559344645761627</v>
      </c>
      <c r="S11" s="11">
        <f>(((24*Input!$G$6*($J11/(2.54)^4))/(($B11/25.4)*($F11*0.00571)))^0.5)*25.4/1000</f>
        <v>10.686364514980035</v>
      </c>
      <c r="T11" s="11">
        <f>((Input!$G$4*($J11/(2.54)^4)*(Input!$G$5))/(17.1*$F11*0.06854))^(1/4)*0.3048</f>
        <v>7.5623953773490458</v>
      </c>
      <c r="U11" s="11">
        <f>(((20*Input!$G$6*($J11/(2.54)^4))/(($B11/25.4)*($F11*0.00571)))^0.5)*25.4/1000</f>
        <v>9.7552715042955302</v>
      </c>
      <c r="V11" s="11">
        <f>((384*Input!$C$4*$J11*Input!$C$5)/(3*$F11*100000))^(1/4)</f>
        <v>8.0232839001998109</v>
      </c>
      <c r="W11" s="11">
        <f>(((200*Input!$C$6*($J11))/($B11*($F11)))^0.5)</f>
        <v>9.7550697246679441</v>
      </c>
      <c r="X11" s="11">
        <f t="shared" si="2"/>
        <v>7.0613863281913289</v>
      </c>
      <c r="Y11" s="26">
        <v>10</v>
      </c>
      <c r="Z11" s="26">
        <v>10</v>
      </c>
      <c r="AA11" s="26">
        <v>9</v>
      </c>
      <c r="AB11" s="26">
        <v>8</v>
      </c>
      <c r="AC11" s="26"/>
      <c r="AD11" s="32">
        <f t="shared" si="3"/>
        <v>1.1329220110874578</v>
      </c>
    </row>
    <row r="12" spans="1:30" hidden="1" x14ac:dyDescent="0.2">
      <c r="A12" s="9">
        <v>10</v>
      </c>
      <c r="B12" s="6">
        <v>273.05</v>
      </c>
      <c r="C12" s="5" t="s">
        <v>7</v>
      </c>
      <c r="D12" s="7">
        <v>9.27</v>
      </c>
      <c r="E12" s="8">
        <v>120</v>
      </c>
      <c r="F12" s="8">
        <f t="shared" si="0"/>
        <v>1381.2025984987852</v>
      </c>
      <c r="G12" s="8">
        <f>(3.14*(B12+E12)*E12*Input!C$2/1000000)*9.81</f>
        <v>290.57463288000002</v>
      </c>
      <c r="H12" s="8">
        <f>((3.14*(B12-2*D12)^2)/4*Input!C$3/1000000)*9.81</f>
        <v>498.82517780908506</v>
      </c>
      <c r="I12" s="8">
        <f>(Input!C$8/1067)*'Insul+Water'!B12</f>
        <v>4.2224226804123717</v>
      </c>
      <c r="J12" s="12">
        <f t="shared" si="1"/>
        <v>6692.1877553114891</v>
      </c>
      <c r="K12" s="11">
        <f>(Input!C$9*(Input!C$7+I12)*D12^2)/(0.644*F12*((B12/2)*D12)^0.5)</f>
        <v>18.962964039563047</v>
      </c>
      <c r="L12" s="11">
        <f>((384*Input!$C$4*$J12*Input!$C$5)/(5*$F12*100000))^(1/4)</f>
        <v>7.9174251646490434</v>
      </c>
      <c r="M12" s="11">
        <f>((160*Input!$C$6*$J12)/(B12*$F12))^0.5</f>
        <v>9.8250263668346545</v>
      </c>
      <c r="N12" s="11">
        <f>((384*Input!$C$4*$J12*Input!$C$5)/(($F12*100000)))^(1/4)</f>
        <v>11.839312070368166</v>
      </c>
      <c r="O12" s="11">
        <f>((240*Input!$C$6*$J12)/($B12*$F12))^0.5</f>
        <v>12.033150654067882</v>
      </c>
      <c r="P12" s="11">
        <f>((185*Input!$G$4*($J12/(2.54)^4)*(Input!$G$5))/($F12*0.00571))^(1/4)*25.4/1000</f>
        <v>9.8637279551460679</v>
      </c>
      <c r="Q12" s="11">
        <f>(((16*Input!$G$6*($J12/(2.54)^4))/(($B12/25.4)*($F12*0.00571)))^0.5)*25.4/1000</f>
        <v>9.8252295934867746</v>
      </c>
      <c r="R12" s="11">
        <f>((384*Input!$G$4*($J12/(2.54)^4)*(Input!$G$5))/($F12*0.00571))^(1/4)*25.4/1000</f>
        <v>11.839434515399031</v>
      </c>
      <c r="S12" s="11">
        <f>(((24*Input!$G$6*($J12/(2.54)^4))/(($B12/25.4)*($F12*0.00571)))^0.5)*25.4/1000</f>
        <v>12.033399554867795</v>
      </c>
      <c r="T12" s="11">
        <f>((Input!$G$4*($J12/(2.54)^4)*(Input!$G$5))/(17.1*$F12*0.06854))^(1/4)*0.3048</f>
        <v>8.4791706164850176</v>
      </c>
      <c r="U12" s="11">
        <f>(((20*Input!$G$6*($J12/(2.54)^4))/(($B12/25.4)*($F12*0.00571)))^0.5)*25.4/1000</f>
        <v>10.984940632789527</v>
      </c>
      <c r="V12" s="11">
        <f>((384*Input!$C$4*$J12*Input!$C$5)/(3*$F12*100000))^(1/4)</f>
        <v>8.9959318046313719</v>
      </c>
      <c r="W12" s="11">
        <f>(((200*Input!$C$6*($J12))/($B12*($F12)))^0.5)</f>
        <v>10.984713418485036</v>
      </c>
      <c r="X12" s="11">
        <f t="shared" si="2"/>
        <v>7.9174251646490434</v>
      </c>
      <c r="Y12" s="26">
        <v>11.5</v>
      </c>
      <c r="Z12" s="26">
        <v>10.5</v>
      </c>
      <c r="AA12" s="26">
        <v>10.5</v>
      </c>
      <c r="AB12" s="26">
        <v>8.85</v>
      </c>
      <c r="AC12" s="26"/>
      <c r="AD12" s="32">
        <f t="shared" si="3"/>
        <v>1.1177876413047594</v>
      </c>
    </row>
    <row r="13" spans="1:30" hidden="1" x14ac:dyDescent="0.2">
      <c r="A13" s="9">
        <v>12</v>
      </c>
      <c r="B13" s="6">
        <v>323.85000000000002</v>
      </c>
      <c r="C13" s="5" t="s">
        <v>8</v>
      </c>
      <c r="D13" s="7">
        <v>9.5299999999999994</v>
      </c>
      <c r="E13" s="8">
        <v>120</v>
      </c>
      <c r="F13" s="8">
        <f t="shared" si="0"/>
        <v>1768.4860536420458</v>
      </c>
      <c r="G13" s="8">
        <f>(3.14*(B13+E13)*E13*Input!C$2/1000000)*9.81</f>
        <v>328.13013816000006</v>
      </c>
      <c r="H13" s="8">
        <f>((3.14*(B13-2*D13)^2)/4*Input!C$3/1000000)*9.81</f>
        <v>715.38543197248509</v>
      </c>
      <c r="I13" s="8">
        <f>(Input!C$8/1067)*'Insul+Water'!B13</f>
        <v>5.0079896907216499</v>
      </c>
      <c r="J13" s="12">
        <f t="shared" si="1"/>
        <v>11636.831740852953</v>
      </c>
      <c r="K13" s="11">
        <f>(Input!C$9*(Input!C$7+I13)*D13^2)/(0.644*F13*((B13/2)*D13)^0.5)</f>
        <v>14.282098975011685</v>
      </c>
      <c r="L13" s="11">
        <f>((384*Input!$C$4*$J13*Input!$C$5)/(5*$F13*100000))^(1/4)</f>
        <v>8.5470169147154476</v>
      </c>
      <c r="M13" s="11">
        <f>((160*Input!$C$6*$J13)/(B13*$F13))^0.5</f>
        <v>10.513421030028784</v>
      </c>
      <c r="N13" s="11">
        <f>((384*Input!$C$4*$J13*Input!$C$5)/(($F13*100000)))^(1/4)</f>
        <v>12.780771326496899</v>
      </c>
      <c r="O13" s="11">
        <f>((240*Input!$C$6*$J13)/($B13*$F13))^0.5</f>
        <v>12.876258487308231</v>
      </c>
      <c r="P13" s="11">
        <f>((185*Input!$G$4*($J13/(2.54)^4)*(Input!$G$5))/($F13*0.00571))^(1/4)*25.4/1000</f>
        <v>10.648089236284189</v>
      </c>
      <c r="Q13" s="11">
        <f>(((16*Input!$G$6*($J13/(2.54)^4))/(($B13/25.4)*($F13*0.00571)))^0.5)*25.4/1000</f>
        <v>10.513638495842969</v>
      </c>
      <c r="R13" s="11">
        <f>((384*Input!$G$4*($J13/(2.54)^4)*(Input!$G$5))/($F13*0.00571))^(1/4)*25.4/1000</f>
        <v>12.780903508327249</v>
      </c>
      <c r="S13" s="11">
        <f>(((24*Input!$G$6*($J13/(2.54)^4))/(($B13/25.4)*($F13*0.00571)))^0.5)*25.4/1000</f>
        <v>12.876524827448856</v>
      </c>
      <c r="T13" s="11">
        <f>((Input!$G$4*($J13/(2.54)^4)*(Input!$G$5))/(17.1*$F13*0.06854))^(1/4)*0.3048</f>
        <v>9.1534322301444959</v>
      </c>
      <c r="U13" s="11">
        <f>(((20*Input!$G$6*($J13/(2.54)^4))/(($B13/25.4)*($F13*0.00571)))^0.5)*25.4/1000</f>
        <v>11.754605183781759</v>
      </c>
      <c r="V13" s="11">
        <f>((384*Input!$C$4*$J13*Input!$C$5)/(3*$F13*100000))^(1/4)</f>
        <v>9.7112861440249869</v>
      </c>
      <c r="W13" s="11">
        <f>(((200*Input!$C$6*($J13))/($B13*($F13)))^0.5)</f>
        <v>11.754362049610108</v>
      </c>
      <c r="X13" s="11">
        <f t="shared" si="2"/>
        <v>8.5470169147154476</v>
      </c>
      <c r="Y13" s="26">
        <v>12</v>
      </c>
      <c r="Z13" s="26">
        <v>11.5</v>
      </c>
      <c r="AA13" s="26">
        <v>11</v>
      </c>
      <c r="AB13" s="26">
        <v>9.4499999999999993</v>
      </c>
      <c r="AC13" s="26"/>
      <c r="AD13" s="32">
        <f t="shared" si="3"/>
        <v>1.1056489175457089</v>
      </c>
    </row>
    <row r="14" spans="1:30" hidden="1" x14ac:dyDescent="0.2">
      <c r="A14" s="9">
        <v>14</v>
      </c>
      <c r="B14" s="6">
        <v>355.6</v>
      </c>
      <c r="C14" s="5" t="s">
        <v>8</v>
      </c>
      <c r="D14" s="7">
        <v>9.5299999999999994</v>
      </c>
      <c r="E14" s="8">
        <v>120</v>
      </c>
      <c r="F14" s="8">
        <f t="shared" si="0"/>
        <v>2021.9952107392401</v>
      </c>
      <c r="G14" s="8">
        <f>(3.14*(B14+E14)*E14*Input!C$2/1000000)*9.81</f>
        <v>351.60232896000002</v>
      </c>
      <c r="H14" s="8">
        <f>((3.14*(B14-2*D14)^2)/4*Input!C$3/1000000)*9.81</f>
        <v>872.19189161586019</v>
      </c>
      <c r="I14" s="8">
        <f>(Input!C$8/1067)*'Insul+Water'!B14</f>
        <v>5.4989690721649493</v>
      </c>
      <c r="J14" s="12">
        <f t="shared" si="1"/>
        <v>15528.901328725904</v>
      </c>
      <c r="K14" s="11">
        <f>(Input!C$9*(Input!C$7+I14)*D14^2)/(0.644*F14*((B14/2)*D14)^0.5)</f>
        <v>11.976516058750942</v>
      </c>
      <c r="L14" s="11">
        <f>((384*Input!$C$4*$J14*Input!$C$5)/(5*$F14*100000))^(1/4)</f>
        <v>8.8837522105943876</v>
      </c>
      <c r="M14" s="11">
        <f>((160*Input!$C$6*$J14)/(B14*$F14))^0.5</f>
        <v>10.839241127563412</v>
      </c>
      <c r="N14" s="11">
        <f>((384*Input!$C$4*$J14*Input!$C$5)/(($F14*100000)))^(1/4)</f>
        <v>13.284308040783644</v>
      </c>
      <c r="O14" s="11">
        <f>((240*Input!$C$6*$J14)/($B14*$F14))^0.5</f>
        <v>13.275304980760072</v>
      </c>
      <c r="P14" s="11">
        <f>((185*Input!$G$4*($J14/(2.54)^4)*(Input!$G$5))/($F14*0.00571))^(1/4)*25.4/1000</f>
        <v>11.067602560676024</v>
      </c>
      <c r="Q14" s="11">
        <f>(((16*Input!$G$6*($J14/(2.54)^4))/(($B14/25.4)*($F14*0.00571)))^0.5)*25.4/1000</f>
        <v>10.839465332833059</v>
      </c>
      <c r="R14" s="11">
        <f>((384*Input!$G$4*($J14/(2.54)^4)*(Input!$G$5))/($F14*0.00571))^(1/4)*25.4/1000</f>
        <v>13.284445430312557</v>
      </c>
      <c r="S14" s="11">
        <f>(((24*Input!$G$6*($J14/(2.54)^4))/(($B14/25.4)*($F14*0.00571)))^0.5)*25.4/1000</f>
        <v>13.275579575014213</v>
      </c>
      <c r="T14" s="11">
        <f>((Input!$G$4*($J14/(2.54)^4)*(Input!$G$5))/(17.1*$F14*0.06854))^(1/4)*0.3048</f>
        <v>9.5140590711910775</v>
      </c>
      <c r="U14" s="11">
        <f>(((20*Input!$G$6*($J14/(2.54)^4))/(($B14/25.4)*($F14*0.00571)))^0.5)*25.4/1000</f>
        <v>12.118890661983551</v>
      </c>
      <c r="V14" s="11">
        <f>((384*Input!$C$4*$J14*Input!$C$5)/(3*$F14*100000))^(1/4)</f>
        <v>10.093891308575801</v>
      </c>
      <c r="W14" s="11">
        <f>(((200*Input!$C$6*($J14))/($B14*($F14)))^0.5)</f>
        <v>12.118639992871628</v>
      </c>
      <c r="X14" s="11">
        <f t="shared" si="2"/>
        <v>8.8837522105943876</v>
      </c>
      <c r="Y14" s="26">
        <v>12</v>
      </c>
      <c r="Z14" s="26">
        <v>12</v>
      </c>
      <c r="AA14" s="26">
        <v>11.5</v>
      </c>
      <c r="AB14" s="26">
        <v>10.15</v>
      </c>
      <c r="AC14" s="26"/>
      <c r="AD14" s="32">
        <f t="shared" si="3"/>
        <v>1.1425352440487409</v>
      </c>
    </row>
    <row r="15" spans="1:30" hidden="1" x14ac:dyDescent="0.2">
      <c r="A15" s="9">
        <v>16</v>
      </c>
      <c r="B15" s="6">
        <v>406.4</v>
      </c>
      <c r="C15" s="5" t="s">
        <v>8</v>
      </c>
      <c r="D15" s="7">
        <v>9.5299999999999994</v>
      </c>
      <c r="E15" s="8">
        <v>120</v>
      </c>
      <c r="F15" s="8">
        <f t="shared" si="0"/>
        <v>2459.9036846037511</v>
      </c>
      <c r="G15" s="8">
        <f>(3.14*(B15+E15)*E15*Input!C$2/1000000)*9.81</f>
        <v>389.15783424000006</v>
      </c>
      <c r="H15" s="8">
        <f>((3.14*(B15-2*D15)^2)/4*Input!C$3/1000000)*9.81</f>
        <v>1155.3760495542601</v>
      </c>
      <c r="I15" s="8">
        <f>(Input!C$8/1067)*'Insul+Water'!B15</f>
        <v>6.2845360824742267</v>
      </c>
      <c r="J15" s="12">
        <f t="shared" si="1"/>
        <v>23416.113910126078</v>
      </c>
      <c r="K15" s="11">
        <f>(Input!C$9*(Input!C$7+I15)*D15^2)/(0.644*F15*((B15/2)*D15)^0.5)</f>
        <v>9.277231901510854</v>
      </c>
      <c r="L15" s="11">
        <f>((384*Input!$C$4*$J15*Input!$C$5)/(5*$F15*100000))^(1/4)</f>
        <v>9.3735794399037164</v>
      </c>
      <c r="M15" s="11">
        <f>((160*Input!$C$6*$J15)/(B15*$F15))^0.5</f>
        <v>11.288102901383851</v>
      </c>
      <c r="N15" s="11">
        <f>((384*Input!$C$4*$J15*Input!$C$5)/(($F15*100000)))^(1/4)</f>
        <v>14.016770591140311</v>
      </c>
      <c r="O15" s="11">
        <f>((240*Input!$C$6*$J15)/($B15*$F15))^0.5</f>
        <v>13.825046136210387</v>
      </c>
      <c r="P15" s="11">
        <f>((185*Input!$G$4*($J15/(2.54)^4)*(Input!$G$5))/($F15*0.00571))^(1/4)*25.4/1000</f>
        <v>11.677841676860249</v>
      </c>
      <c r="Q15" s="11">
        <f>(((16*Input!$G$6*($J15/(2.54)^4))/(($B15/25.4)*($F15*0.00571)))^0.5)*25.4/1000</f>
        <v>11.288336391175713</v>
      </c>
      <c r="R15" s="11">
        <f>((384*Input!$G$4*($J15/(2.54)^4)*(Input!$G$5))/($F15*0.00571))^(1/4)*25.4/1000</f>
        <v>14.016915555974203</v>
      </c>
      <c r="S15" s="11">
        <f>(((24*Input!$G$6*($J15/(2.54)^4))/(($B15/25.4)*($F15*0.00571)))^0.5)*25.4/1000</f>
        <v>13.825332101635492</v>
      </c>
      <c r="T15" s="11">
        <f>((Input!$G$4*($J15/(2.54)^4)*(Input!$G$5))/(17.1*$F15*0.06854))^(1/4)*0.3048</f>
        <v>10.038639798326759</v>
      </c>
      <c r="U15" s="11">
        <f>(((20*Input!$G$6*($J15/(2.54)^4))/(($B15/25.4)*($F15*0.00571)))^0.5)*25.4/1000</f>
        <v>12.620743761776776</v>
      </c>
      <c r="V15" s="11">
        <f>((384*Input!$C$4*$J15*Input!$C$5)/(3*$F15*100000))^(1/4)</f>
        <v>10.650442492740178</v>
      </c>
      <c r="W15" s="11">
        <f>(((200*Input!$C$6*($J15))/($B15*($F15)))^0.5)</f>
        <v>12.620482712253446</v>
      </c>
      <c r="X15" s="11">
        <f t="shared" si="2"/>
        <v>9.3735794399037164</v>
      </c>
      <c r="Y15" s="26">
        <v>13</v>
      </c>
      <c r="Z15" s="26">
        <v>12.5</v>
      </c>
      <c r="AA15" s="26">
        <v>12</v>
      </c>
      <c r="AB15" s="26">
        <v>10.7</v>
      </c>
      <c r="AC15" s="26"/>
      <c r="AD15" s="32">
        <f t="shared" si="3"/>
        <v>1.1415063016855285</v>
      </c>
    </row>
    <row r="16" spans="1:30" hidden="1" x14ac:dyDescent="0.2">
      <c r="A16" s="9">
        <v>18</v>
      </c>
      <c r="B16" s="6">
        <v>457.2</v>
      </c>
      <c r="C16" s="5" t="s">
        <v>8</v>
      </c>
      <c r="D16" s="7">
        <v>9.5299999999999994</v>
      </c>
      <c r="E16" s="8">
        <v>120</v>
      </c>
      <c r="F16" s="8">
        <f t="shared" si="0"/>
        <v>2937.5584015562627</v>
      </c>
      <c r="G16" s="8">
        <f>(3.14*(B16+E16)*E16*Input!C$2/1000000)*9.81</f>
        <v>426.71333952000003</v>
      </c>
      <c r="H16" s="8">
        <f>((3.14*(B16-2*D16)^2)/4*Input!C$3/1000000)*9.81</f>
        <v>1478.3064505806599</v>
      </c>
      <c r="I16" s="8">
        <f>(Input!C$8/1067)*'Insul+Water'!B16</f>
        <v>7.0701030927835049</v>
      </c>
      <c r="J16" s="12">
        <f t="shared" si="1"/>
        <v>33603.955567629222</v>
      </c>
      <c r="K16" s="11">
        <f>(Input!C$9*(Input!C$7+I16)*D16^2)/(0.644*F16*((B16/2)*D16)^0.5)</f>
        <v>7.3785646105189624</v>
      </c>
      <c r="L16" s="11">
        <f>((384*Input!$C$4*$J16*Input!$C$5)/(5*$F16*100000))^(1/4)</f>
        <v>9.8142531857567814</v>
      </c>
      <c r="M16" s="11">
        <f>((160*Input!$C$6*$J16)/(B16*$F16))^0.5</f>
        <v>11.666706840321339</v>
      </c>
      <c r="N16" s="11">
        <f>((384*Input!$C$4*$J16*Input!$C$5)/(($F16*100000)))^(1/4)</f>
        <v>14.675731539917887</v>
      </c>
      <c r="O16" s="11">
        <f>((240*Input!$C$6*$J16)/($B16*$F16))^0.5</f>
        <v>14.288739368712728</v>
      </c>
      <c r="P16" s="11">
        <f>((185*Input!$G$4*($J16/(2.54)^4)*(Input!$G$5))/($F16*0.00571))^(1/4)*25.4/1000</f>
        <v>12.226844143656853</v>
      </c>
      <c r="Q16" s="11">
        <f>(((16*Input!$G$6*($J16/(2.54)^4))/(($B16/25.4)*($F16*0.00571)))^0.5)*25.4/1000</f>
        <v>11.666948161380837</v>
      </c>
      <c r="R16" s="11">
        <f>((384*Input!$G$4*($J16/(2.54)^4)*(Input!$G$5))/($F16*0.00571))^(1/4)*25.4/1000</f>
        <v>14.675883319885395</v>
      </c>
      <c r="S16" s="11">
        <f>(((24*Input!$G$6*($J16/(2.54)^4))/(($B16/25.4)*($F16*0.00571)))^0.5)*25.4/1000</f>
        <v>14.289034925442708</v>
      </c>
      <c r="T16" s="11">
        <f>((Input!$G$4*($J16/(2.54)^4)*(Input!$G$5))/(17.1*$F16*0.06854))^(1/4)*0.3048</f>
        <v>10.510579576675054</v>
      </c>
      <c r="U16" s="11">
        <f>(((20*Input!$G$6*($J16/(2.54)^4))/(($B16/25.4)*($F16*0.00571)))^0.5)*25.4/1000</f>
        <v>13.04404458940687</v>
      </c>
      <c r="V16" s="11">
        <f>((384*Input!$C$4*$J16*Input!$C$5)/(3*$F16*100000))^(1/4)</f>
        <v>11.151144537072206</v>
      </c>
      <c r="W16" s="11">
        <f>(((200*Input!$C$6*($J16))/($B16*($F16)))^0.5)</f>
        <v>13.043774784260147</v>
      </c>
      <c r="X16" s="11">
        <f t="shared" si="2"/>
        <v>9.8142531857567814</v>
      </c>
      <c r="Y16" s="26">
        <v>13.5</v>
      </c>
      <c r="Z16" s="26">
        <v>13</v>
      </c>
      <c r="AA16" s="26">
        <v>12</v>
      </c>
      <c r="AB16" s="26">
        <v>11.1</v>
      </c>
      <c r="AC16" s="26"/>
      <c r="AD16" s="32">
        <f t="shared" si="3"/>
        <v>1.1310081154324809</v>
      </c>
    </row>
    <row r="17" spans="1:30" hidden="1" x14ac:dyDescent="0.2">
      <c r="A17" s="9">
        <v>20</v>
      </c>
      <c r="B17" s="6">
        <v>508</v>
      </c>
      <c r="C17" s="5" t="s">
        <v>8</v>
      </c>
      <c r="D17" s="7">
        <v>9.5299999999999994</v>
      </c>
      <c r="E17" s="8">
        <v>140</v>
      </c>
      <c r="F17" s="8">
        <f t="shared" si="0"/>
        <v>3549.587406396774</v>
      </c>
      <c r="G17" s="8">
        <f>(3.14*(B17+E17)*E17*Input!C$2/1000000)*9.81</f>
        <v>558.89688960000001</v>
      </c>
      <c r="H17" s="8">
        <f>((3.14*(B17-2*D17)^2)/4*Input!C$3/1000000)*9.81</f>
        <v>1840.9830946950603</v>
      </c>
      <c r="I17" s="8">
        <f>(Input!C$8/1067)*'Insul+Water'!B17</f>
        <v>7.855670103092784</v>
      </c>
      <c r="J17" s="12">
        <f t="shared" si="1"/>
        <v>46386.910533014052</v>
      </c>
      <c r="K17" s="11">
        <f>(Input!C$9*(Input!C$7+I17)*D17^2)/(0.644*F17*((B17/2)*D17)^0.5)</f>
        <v>5.8354793228222173</v>
      </c>
      <c r="L17" s="11">
        <f>((384*Input!$C$4*$J17*Input!$C$5)/(5*$F17*100000))^(1/4)</f>
        <v>10.146369593865835</v>
      </c>
      <c r="M17" s="11">
        <f>((160*Input!$C$6*$J17)/(B17*$F17))^0.5</f>
        <v>11.829772167993456</v>
      </c>
      <c r="N17" s="11">
        <f>((384*Input!$C$4*$J17*Input!$C$5)/(($F17*100000)))^(1/4)</f>
        <v>15.172361406007324</v>
      </c>
      <c r="O17" s="11">
        <f>((240*Input!$C$6*$J17)/($B17*$F17))^0.5</f>
        <v>14.488452792480944</v>
      </c>
      <c r="P17" s="11">
        <f>((185*Input!$G$4*($J17/(2.54)^4)*(Input!$G$5))/($F17*0.00571))^(1/4)*25.4/1000</f>
        <v>12.640603141172198</v>
      </c>
      <c r="Q17" s="11">
        <f>(((16*Input!$G$6*($J17/(2.54)^4))/(($B17/25.4)*($F17*0.00571)))^0.5)*25.4/1000</f>
        <v>11.830016861992565</v>
      </c>
      <c r="R17" s="11">
        <f>((384*Input!$G$4*($J17/(2.54)^4)*(Input!$G$5))/($F17*0.00571))^(1/4)*25.4/1000</f>
        <v>15.172518322241105</v>
      </c>
      <c r="S17" s="11">
        <f>(((24*Input!$G$6*($J17/(2.54)^4))/(($B17/25.4)*($F17*0.00571)))^0.5)*25.4/1000</f>
        <v>14.488752480201413</v>
      </c>
      <c r="T17" s="11">
        <f>((Input!$G$4*($J17/(2.54)^4)*(Input!$G$5))/(17.1*$F17*0.06854))^(1/4)*0.3048</f>
        <v>10.86625981745137</v>
      </c>
      <c r="U17" s="11">
        <f>(((20*Input!$G$6*($J17/(2.54)^4))/(($B17/25.4)*($F17*0.00571)))^0.5)*25.4/1000</f>
        <v>13.226360939192062</v>
      </c>
      <c r="V17" s="11">
        <f>((384*Input!$C$4*$J17*Input!$C$5)/(3*$F17*100000))^(1/4)</f>
        <v>11.528501631887337</v>
      </c>
      <c r="W17" s="11">
        <f>(((200*Input!$C$6*($J17))/($B17*($F17)))^0.5)</f>
        <v>13.226087362984215</v>
      </c>
      <c r="X17" s="11">
        <f t="shared" si="2"/>
        <v>10.146369593865835</v>
      </c>
      <c r="Y17" s="26">
        <v>14</v>
      </c>
      <c r="Z17" s="26">
        <v>13.5</v>
      </c>
      <c r="AA17" s="26">
        <v>12.5</v>
      </c>
      <c r="AB17" s="26">
        <v>11.95</v>
      </c>
      <c r="AC17" s="26"/>
      <c r="AD17" s="32">
        <f t="shared" si="3"/>
        <v>1.1777611577666736</v>
      </c>
    </row>
    <row r="18" spans="1:30" hidden="1" x14ac:dyDescent="0.2">
      <c r="A18" s="9">
        <v>24</v>
      </c>
      <c r="B18" s="6">
        <v>609.6</v>
      </c>
      <c r="C18" s="5" t="s">
        <v>8</v>
      </c>
      <c r="D18" s="7">
        <v>9.5299999999999994</v>
      </c>
      <c r="E18" s="8">
        <v>140</v>
      </c>
      <c r="F18" s="8">
        <f t="shared" si="0"/>
        <v>4716.1465575017955</v>
      </c>
      <c r="G18" s="8">
        <f>(3.14*(B18+E18)*E18*Input!C$2/1000000)*9.81</f>
        <v>646.52640192000013</v>
      </c>
      <c r="H18" s="8">
        <f>((3.14*(B18-2*D18)^2)/4*Input!C$3/1000000)*9.81</f>
        <v>2685.5751121878611</v>
      </c>
      <c r="I18" s="8">
        <f>(Input!C$8/1067)*'Insul+Water'!B18</f>
        <v>9.4268041237113405</v>
      </c>
      <c r="J18" s="12">
        <f t="shared" si="1"/>
        <v>80916.097314543847</v>
      </c>
      <c r="K18" s="11">
        <f>(Input!C$9*(Input!C$7+I18)*D18^2)/(0.644*F18*((B18/2)*D18)^0.5)</f>
        <v>4.0677778570440335</v>
      </c>
      <c r="L18" s="11">
        <f>((384*Input!$C$4*$J18*Input!$C$5)/(5*$F18*100000))^(1/4)</f>
        <v>10.860959479299115</v>
      </c>
      <c r="M18" s="11">
        <f>((160*Input!$C$6*$J18)/(B18*$F18))^0.5</f>
        <v>12.373734361620782</v>
      </c>
      <c r="N18" s="11">
        <f>((384*Input!$C$4*$J18*Input!$C$5)/(($F18*100000)))^(1/4)</f>
        <v>16.240922520262991</v>
      </c>
      <c r="O18" s="11">
        <f>((240*Input!$C$6*$J18)/($B18*$F18))^0.5</f>
        <v>15.154667699356931</v>
      </c>
      <c r="P18" s="11">
        <f>((185*Input!$G$4*($J18/(2.54)^4)*(Input!$G$5))/($F18*0.00571))^(1/4)*25.4/1000</f>
        <v>13.530857243084547</v>
      </c>
      <c r="Q18" s="11">
        <f>(((16*Input!$G$6*($J18/(2.54)^4))/(($B18/25.4)*($F18*0.00571)))^0.5)*25.4/1000</f>
        <v>12.373990307255394</v>
      </c>
      <c r="R18" s="11">
        <f>((384*Input!$G$4*($J18/(2.54)^4)*(Input!$G$5))/($F18*0.00571))^(1/4)*25.4/1000</f>
        <v>16.241090487814439</v>
      </c>
      <c r="S18" s="11">
        <f>(((24*Input!$G$6*($J18/(2.54)^4))/(($B18/25.4)*($F18*0.00571)))^0.5)*25.4/1000</f>
        <v>15.154981167460273</v>
      </c>
      <c r="T18" s="11">
        <f>((Input!$G$4*($J18/(2.54)^4)*(Input!$G$5))/(17.1*$F18*0.06854))^(1/4)*0.3048</f>
        <v>11.63155022858869</v>
      </c>
      <c r="U18" s="11">
        <f>(((20*Input!$G$6*($J18/(2.54)^4))/(($B18/25.4)*($F18*0.00571)))^0.5)*25.4/1000</f>
        <v>13.834541739973281</v>
      </c>
      <c r="V18" s="11">
        <f>((384*Input!$C$4*$J18*Input!$C$5)/(3*$F18*100000))^(1/4)</f>
        <v>12.340432498798423</v>
      </c>
      <c r="W18" s="11">
        <f>(((200*Input!$C$6*($J18))/($B18*($F18)))^0.5)</f>
        <v>13.834255584054517</v>
      </c>
      <c r="X18" s="11">
        <f t="shared" si="2"/>
        <v>10.860959479299115</v>
      </c>
      <c r="Y18" s="26">
        <v>14.5</v>
      </c>
      <c r="Z18" s="26">
        <v>14.5</v>
      </c>
      <c r="AA18" s="26">
        <v>13</v>
      </c>
      <c r="AB18" s="26">
        <v>12.7</v>
      </c>
      <c r="AC18" s="26"/>
      <c r="AD18" s="32">
        <f t="shared" si="3"/>
        <v>1.1693257878556749</v>
      </c>
    </row>
    <row r="19" spans="1:30" hidden="1" x14ac:dyDescent="0.2">
      <c r="A19" s="5">
        <v>0.75</v>
      </c>
      <c r="B19" s="6">
        <v>26.67</v>
      </c>
      <c r="C19" s="5" t="s">
        <v>9</v>
      </c>
      <c r="D19" s="7">
        <v>3.91</v>
      </c>
      <c r="E19" s="8">
        <v>40</v>
      </c>
      <c r="F19" s="8">
        <f t="shared" si="0"/>
        <v>40.703539638889083</v>
      </c>
      <c r="G19" s="8">
        <f>(3.14*(B19+E19)*E19*Input!C$2/1000000)*9.81</f>
        <v>16.429301424000002</v>
      </c>
      <c r="H19" s="8">
        <f>((3.14*(B19-2*D19)^2)/4*Input!C$3/1000000)*9.81</f>
        <v>2.7362852741250006</v>
      </c>
      <c r="I19" s="8">
        <f>(Input!C$8/1067)*'Insul+Water'!B19</f>
        <v>0.41242268041237118</v>
      </c>
      <c r="J19" s="12">
        <f t="shared" si="1"/>
        <v>1.8644553960993349</v>
      </c>
      <c r="K19" s="11">
        <f>(Input!C$9*(Input!C$7+I19)*D19^2)/(0.644*F19*((B19/2)*D19)^0.5)</f>
        <v>543.39148567016957</v>
      </c>
      <c r="L19" s="11">
        <f>((384*Input!$C$4*$J19*Input!$C$5)/(5*$F19*100000))^(1/4)</f>
        <v>2.4688018811520256</v>
      </c>
      <c r="M19" s="11">
        <f>((160*Input!$C$6*$J19)/(B19*$F19))^0.5</f>
        <v>3.0566650564310844</v>
      </c>
      <c r="N19" s="11">
        <f>((384*Input!$C$4*$J19*Input!$C$5)/(($F19*100000)))^(1/4)</f>
        <v>3.6917198840573375</v>
      </c>
      <c r="O19" s="11">
        <f>((240*Input!$C$6*$J19)/($B19*$F19))^0.5</f>
        <v>3.7436348514258531</v>
      </c>
      <c r="P19" s="11">
        <f>((185*Input!$G$4*($J19/(2.54)^4)*(Input!$G$5))/($F19*0.00571))^(1/4)*25.4/1000</f>
        <v>3.07569564908112</v>
      </c>
      <c r="Q19" s="11">
        <f>(((16*Input!$G$6*($J19/(2.54)^4))/(($B19/25.4)*($F19*0.00571)))^0.5)*25.4/1000</f>
        <v>3.0567282822976503</v>
      </c>
      <c r="R19" s="11">
        <f>((384*Input!$G$4*($J19/(2.54)^4)*(Input!$G$5))/($F19*0.00571))^(1/4)*25.4/1000</f>
        <v>3.6917580647178734</v>
      </c>
      <c r="S19" s="11">
        <f>(((24*Input!$G$6*($J19/(2.54)^4))/(($B19/25.4)*($F19*0.00571)))^0.5)*25.4/1000</f>
        <v>3.7437122869816681</v>
      </c>
      <c r="T19" s="11">
        <f>((Input!$G$4*($J19/(2.54)^4)*(Input!$G$5))/(17.1*$F19*0.06854))^(1/4)*0.3048</f>
        <v>2.6439646644282622</v>
      </c>
      <c r="U19" s="11">
        <f>(((20*Input!$G$6*($J19/(2.54)^4))/(($B19/25.4)*($F19*0.00571)))^0.5)*25.4/1000</f>
        <v>3.4175261139818565</v>
      </c>
      <c r="V19" s="11">
        <f>((384*Input!$C$4*$J19*Input!$C$5)/(3*$F19*100000))^(1/4)</f>
        <v>2.8051005093363246</v>
      </c>
      <c r="W19" s="11">
        <f>(((200*Input!$C$6*($J19))/($B19*($F19)))^0.5)</f>
        <v>3.4174554253140679</v>
      </c>
      <c r="X19" s="11">
        <f t="shared" si="2"/>
        <v>2.4688018811520256</v>
      </c>
      <c r="Y19" s="26">
        <v>3.5</v>
      </c>
      <c r="Z19" s="26">
        <v>3</v>
      </c>
      <c r="AA19" s="26">
        <v>2</v>
      </c>
      <c r="AB19" s="26" t="s">
        <v>6</v>
      </c>
      <c r="AC19" s="26" t="s">
        <v>6</v>
      </c>
      <c r="AD19" s="33" t="s">
        <v>6</v>
      </c>
    </row>
    <row r="20" spans="1:30" hidden="1" x14ac:dyDescent="0.2">
      <c r="A20" s="5">
        <v>1</v>
      </c>
      <c r="B20" s="6">
        <v>33.4</v>
      </c>
      <c r="C20" s="5" t="s">
        <v>9</v>
      </c>
      <c r="D20" s="7">
        <v>4.55</v>
      </c>
      <c r="E20" s="8">
        <v>40</v>
      </c>
      <c r="F20" s="8">
        <f t="shared" si="0"/>
        <v>54.404695473241503</v>
      </c>
      <c r="G20" s="8">
        <f>(3.14*(B20+E20)*E20*Input!C$2/1000000)*9.81</f>
        <v>18.087756480000003</v>
      </c>
      <c r="H20" s="8">
        <f>((3.14*(B20-2*D20)^2)/4*Input!C$3/1000000)*9.81</f>
        <v>4.5472749165000002</v>
      </c>
      <c r="I20" s="8">
        <f>(Input!C$8/1067)*'Insul+Water'!B20</f>
        <v>0.51649484536082479</v>
      </c>
      <c r="J20" s="12">
        <f t="shared" si="1"/>
        <v>4.3989166291809374</v>
      </c>
      <c r="K20" s="11">
        <f>(Input!C$9*(Input!C$7+I20)*D20^2)/(0.644*F20*((B20/2)*D20)^0.5)</f>
        <v>456.50837220889673</v>
      </c>
      <c r="L20" s="11">
        <f>((384*Input!$C$4*$J20*Input!$C$5)/(5*$F20*100000))^(1/4)</f>
        <v>2.845664010931221</v>
      </c>
      <c r="M20" s="11">
        <f>((160*Input!$C$6*$J20)/(B20*$F20))^0.5</f>
        <v>3.628949211390446</v>
      </c>
      <c r="N20" s="11">
        <f>((384*Input!$C$4*$J20*Input!$C$5)/(($F20*100000)))^(1/4)</f>
        <v>4.2552602105110919</v>
      </c>
      <c r="O20" s="11">
        <f>((240*Input!$C$6*$J20)/($B20*$F20))^0.5</f>
        <v>4.4445369351910005</v>
      </c>
      <c r="P20" s="11">
        <f>((185*Input!$G$4*($J20/(2.54)^4)*(Input!$G$5))/($F20*0.00571))^(1/4)*25.4/1000</f>
        <v>3.5451999951829789</v>
      </c>
      <c r="Q20" s="11">
        <f>(((16*Input!$G$6*($J20/(2.54)^4))/(($B20/25.4)*($F20*0.00571)))^0.5)*25.4/1000</f>
        <v>3.6290242747207015</v>
      </c>
      <c r="R20" s="11">
        <f>((384*Input!$G$4*($J20/(2.54)^4)*(Input!$G$5))/($F20*0.00571))^(1/4)*25.4/1000</f>
        <v>4.2553042194420776</v>
      </c>
      <c r="S20" s="11">
        <f>(((24*Input!$G$6*($J20/(2.54)^4))/(($B20/25.4)*($F20*0.00571)))^0.5)*25.4/1000</f>
        <v>4.4446288686197599</v>
      </c>
      <c r="T20" s="11">
        <f>((Input!$G$4*($J20/(2.54)^4)*(Input!$G$5))/(17.1*$F20*0.06854))^(1/4)*0.3048</f>
        <v>3.0475653592043104</v>
      </c>
      <c r="U20" s="11">
        <f>(((20*Input!$G$6*($J20/(2.54)^4))/(($B20/25.4)*($F20*0.00571)))^0.5)*25.4/1000</f>
        <v>4.0573724851361801</v>
      </c>
      <c r="V20" s="11">
        <f>((384*Input!$C$4*$J20*Input!$C$5)/(3*$F20*100000))^(1/4)</f>
        <v>3.233298559679636</v>
      </c>
      <c r="W20" s="11">
        <f>(((200*Input!$C$6*($J20))/($B20*($F20)))^0.5)</f>
        <v>4.0572885617816459</v>
      </c>
      <c r="X20" s="11">
        <f t="shared" si="2"/>
        <v>2.845664010931221</v>
      </c>
      <c r="Y20" s="26">
        <v>4.5</v>
      </c>
      <c r="Z20" s="26">
        <v>3.5</v>
      </c>
      <c r="AA20" s="26">
        <v>3</v>
      </c>
      <c r="AB20" s="26">
        <v>3.2</v>
      </c>
      <c r="AC20" s="26">
        <v>5</v>
      </c>
      <c r="AD20" s="32">
        <f>AB20/MIN(L20:W20)</f>
        <v>1.1245178586465749</v>
      </c>
    </row>
    <row r="21" spans="1:30" hidden="1" x14ac:dyDescent="0.2">
      <c r="A21" s="5">
        <v>1.5</v>
      </c>
      <c r="B21" s="6">
        <v>48.26</v>
      </c>
      <c r="C21" s="5" t="s">
        <v>9</v>
      </c>
      <c r="D21" s="7">
        <v>5.08</v>
      </c>
      <c r="E21" s="8">
        <v>50</v>
      </c>
      <c r="F21" s="8">
        <f t="shared" si="0"/>
        <v>94.534711138710719</v>
      </c>
      <c r="G21" s="8">
        <f>(3.14*(B21+E21)*E21*Input!C$2/1000000)*9.81</f>
        <v>30.267420839999996</v>
      </c>
      <c r="H21" s="8">
        <f>((3.14*(B21-2*D21)^2)/4*Input!C$3/1000000)*9.81</f>
        <v>11.178630868499999</v>
      </c>
      <c r="I21" s="8">
        <f>(Input!C$8/1067)*'Insul+Water'!B21</f>
        <v>0.74628865979381442</v>
      </c>
      <c r="J21" s="12">
        <f t="shared" si="1"/>
        <v>16.289515278788155</v>
      </c>
      <c r="K21" s="11">
        <f>(Input!C$9*(Input!C$7+I21)*D21^2)/(0.644*F21*((B21/2)*D21)^0.5)</f>
        <v>258.43039873870805</v>
      </c>
      <c r="L21" s="11">
        <f>((384*Input!$C$4*$J21*Input!$C$5)/(5*$F21*100000))^(1/4)</f>
        <v>3.4382345451919556</v>
      </c>
      <c r="M21" s="11">
        <f>((160*Input!$C$6*$J21)/(B21*$F21))^0.5</f>
        <v>4.4072148325120359</v>
      </c>
      <c r="N21" s="11">
        <f>((384*Input!$C$4*$J21*Input!$C$5)/(($F21*100000)))^(1/4)</f>
        <v>5.1413598367054876</v>
      </c>
      <c r="O21" s="11">
        <f>((240*Input!$C$6*$J21)/($B21*$F21))^0.5</f>
        <v>5.3977137632400574</v>
      </c>
      <c r="P21" s="11">
        <f>((185*Input!$G$4*($J21/(2.54)^4)*(Input!$G$5))/($F21*0.00571))^(1/4)*25.4/1000</f>
        <v>4.2834393119599676</v>
      </c>
      <c r="Q21" s="11">
        <f>(((16*Input!$G$6*($J21/(2.54)^4))/(($B21/25.4)*($F21*0.00571)))^0.5)*25.4/1000</f>
        <v>4.4073059939483663</v>
      </c>
      <c r="R21" s="11">
        <f>((384*Input!$G$4*($J21/(2.54)^4)*(Input!$G$5))/($F21*0.00571))^(1/4)*25.4/1000</f>
        <v>5.1414130098932675</v>
      </c>
      <c r="S21" s="11">
        <f>(((24*Input!$G$6*($J21/(2.54)^4))/(($B21/25.4)*($F21*0.00571)))^0.5)*25.4/1000</f>
        <v>5.3978254127416712</v>
      </c>
      <c r="T21" s="11">
        <f>((Input!$G$4*($J21/(2.54)^4)*(Input!$G$5))/(17.1*$F21*0.06854))^(1/4)*0.3048</f>
        <v>3.6821790824552285</v>
      </c>
      <c r="U21" s="11">
        <f>(((20*Input!$G$6*($J21/(2.54)^4))/(($B21/25.4)*($F21*0.00571)))^0.5)*25.4/1000</f>
        <v>4.9275179000554115</v>
      </c>
      <c r="V21" s="11">
        <f>((384*Input!$C$4*$J21*Input!$C$5)/(3*$F21*100000))^(1/4)</f>
        <v>3.9065886767046738</v>
      </c>
      <c r="W21" s="11">
        <f>(((200*Input!$C$6*($J21))/($B21*($F21)))^0.5)</f>
        <v>4.9274159784711316</v>
      </c>
      <c r="X21" s="11">
        <f t="shared" si="2"/>
        <v>3.4382345451919556</v>
      </c>
      <c r="Y21" s="26">
        <v>5</v>
      </c>
      <c r="Z21" s="26">
        <v>4.5</v>
      </c>
      <c r="AA21" s="26">
        <v>4</v>
      </c>
      <c r="AB21" s="26">
        <v>3.75</v>
      </c>
      <c r="AC21" s="26">
        <v>6.1</v>
      </c>
      <c r="AD21" s="32">
        <f>AB21/MIN(L21:W21)</f>
        <v>1.0906760288485899</v>
      </c>
    </row>
    <row r="22" spans="1:30" x14ac:dyDescent="0.2">
      <c r="A22" s="5">
        <v>2</v>
      </c>
      <c r="B22" s="6">
        <v>60.32</v>
      </c>
      <c r="C22" s="5" t="s">
        <v>9</v>
      </c>
      <c r="D22" s="7">
        <v>5.54</v>
      </c>
      <c r="E22" s="8">
        <v>50</v>
      </c>
      <c r="F22" s="8">
        <f t="shared" si="0"/>
        <v>126.10284150976054</v>
      </c>
      <c r="G22" s="8">
        <f>(3.14*(B22+E22)*E22*Input!C$2/1000000)*9.81</f>
        <v>33.98231088</v>
      </c>
      <c r="H22" s="8">
        <f>((3.14*(B22-2*D22)^2)/4*Input!C$3/1000000)*9.81</f>
        <v>18.671308410960002</v>
      </c>
      <c r="I22" s="8">
        <f>(Input!C$8/1067)*'Insul+Water'!B22</f>
        <v>0.93278350515463926</v>
      </c>
      <c r="J22" s="12">
        <f t="shared" si="1"/>
        <v>36.142804873030677</v>
      </c>
      <c r="K22" s="11">
        <f>(Input!C$9*(Input!C$7+I22)*D22^2)/(0.644*F22*((B22/2)*D22)^0.5)</f>
        <v>197.71758236232449</v>
      </c>
      <c r="L22" s="11">
        <f>((384*Input!$C$4*$J22*Input!$C$5)/(5*$F22*100000))^(1/4)</f>
        <v>3.90463578029608</v>
      </c>
      <c r="M22" s="11">
        <f>((160*Input!$C$6*$J22)/(B22*$F22))^0.5</f>
        <v>5.0841373371378689</v>
      </c>
      <c r="N22" s="11">
        <f>((384*Input!$C$4*$J22*Input!$C$5)/(($F22*100000)))^(1/4)</f>
        <v>5.838792355178513</v>
      </c>
      <c r="O22" s="11">
        <f>((240*Input!$C$6*$J22)/($B22*$F22))^0.5</f>
        <v>6.2267711291100953</v>
      </c>
      <c r="P22" s="11">
        <f>((185*Input!$G$4*($J22/(2.54)^4)*(Input!$G$5))/($F22*0.00571))^(1/4)*25.4/1000</f>
        <v>4.8644937337373966</v>
      </c>
      <c r="Q22" s="11">
        <f>(((16*Input!$G$6*($J22/(2.54)^4))/(($B22/25.4)*($F22*0.00571)))^0.5)*25.4/1000</f>
        <v>5.0842425004393572</v>
      </c>
      <c r="R22" s="11">
        <f>((384*Input!$G$4*($J22/(2.54)^4)*(Input!$G$5))/($F22*0.00571))^(1/4)*25.4/1000</f>
        <v>5.8388527413821967</v>
      </c>
      <c r="S22" s="11">
        <f>(((24*Input!$G$6*($J22/(2.54)^4))/(($B22/25.4)*($F22*0.00571)))^0.5)*25.4/1000</f>
        <v>6.2268999273242525</v>
      </c>
      <c r="T22" s="11">
        <f>((Input!$G$4*($J22/(2.54)^4)*(Input!$G$5))/(17.1*$F22*0.06854))^(1/4)*0.3048</f>
        <v>4.1816717288580971</v>
      </c>
      <c r="U22" s="11">
        <f>(((20*Input!$G$6*($J22/(2.54)^4))/(($B22/25.4)*($F22*0.00571)))^0.5)*25.4/1000</f>
        <v>5.6843559225379545</v>
      </c>
      <c r="V22" s="11">
        <f>((384*Input!$C$4*$J22*Input!$C$5)/(3*$F22*100000))^(1/4)</f>
        <v>4.4365227925743422</v>
      </c>
      <c r="W22" s="11">
        <f>(((200*Input!$C$6*($J22))/($B22*($F22)))^0.5)</f>
        <v>5.6842383463925206</v>
      </c>
      <c r="X22" s="11">
        <f t="shared" si="2"/>
        <v>3.90463578029608</v>
      </c>
      <c r="Y22" s="26">
        <v>5.5</v>
      </c>
      <c r="Z22" s="26">
        <v>5</v>
      </c>
      <c r="AA22" s="26">
        <v>4</v>
      </c>
      <c r="AB22" s="26">
        <v>4</v>
      </c>
      <c r="AC22" s="26">
        <v>6.6</v>
      </c>
      <c r="AD22" s="32">
        <f>AB22/MIN(L22:W22)</f>
        <v>1.0244233329482753</v>
      </c>
    </row>
    <row r="23" spans="1:30" hidden="1" x14ac:dyDescent="0.2">
      <c r="A23" s="5">
        <v>2.5</v>
      </c>
      <c r="B23" s="6">
        <v>73.02</v>
      </c>
      <c r="C23" s="5" t="s">
        <v>9</v>
      </c>
      <c r="D23" s="7">
        <v>7.01</v>
      </c>
      <c r="E23" s="8">
        <v>50</v>
      </c>
      <c r="F23" s="8">
        <f t="shared" si="0"/>
        <v>176.69201099690531</v>
      </c>
      <c r="G23" s="8">
        <f>(3.14*(B23+E23)*E23*Input!C$2/1000000)*9.81</f>
        <v>37.894342680000001</v>
      </c>
      <c r="H23" s="8">
        <f>((3.14*(B23-2*D23)^2)/4*Input!C$3/1000000)*9.81</f>
        <v>26.806658849999998</v>
      </c>
      <c r="I23" s="8">
        <f>(Input!C$8/1067)*'Insul+Water'!B23</f>
        <v>1.1291752577319587</v>
      </c>
      <c r="J23" s="12">
        <f t="shared" si="1"/>
        <v>80.102184494851457</v>
      </c>
      <c r="K23" s="11">
        <f>(Input!C$9*(Input!C$7+I23)*D23^2)/(0.644*F23*((B23/2)*D23)^0.5)</f>
        <v>182.90248145015113</v>
      </c>
      <c r="L23" s="11">
        <f>((384*Input!$C$4*$J23*Input!$C$5)/(5*$F23*100000))^(1/4)</f>
        <v>4.3788810317297191</v>
      </c>
      <c r="M23" s="11">
        <f>((160*Input!$C$6*$J23)/(B23*$F23))^0.5</f>
        <v>5.8115537483575102</v>
      </c>
      <c r="N23" s="11">
        <f>((384*Input!$C$4*$J23*Input!$C$5)/(($F23*100000)))^(1/4)</f>
        <v>6.5479544139097561</v>
      </c>
      <c r="O23" s="11">
        <f>((240*Input!$C$6*$J23)/($B23*$F23))^0.5</f>
        <v>7.1176706481174259</v>
      </c>
      <c r="P23" s="11">
        <f>((185*Input!$G$4*($J23/(2.54)^4)*(Input!$G$5))/($F23*0.00571))^(1/4)*25.4/1000</f>
        <v>5.4553204288917154</v>
      </c>
      <c r="Q23" s="11">
        <f>(((16*Input!$G$6*($J23/(2.54)^4))/(($B23/25.4)*($F23*0.00571)))^0.5)*25.4/1000</f>
        <v>5.8116739579699637</v>
      </c>
      <c r="R23" s="11">
        <f>((384*Input!$G$4*($J23/(2.54)^4)*(Input!$G$5))/($F23*0.00571))^(1/4)*25.4/1000</f>
        <v>6.5480221344390834</v>
      </c>
      <c r="S23" s="11">
        <f>(((24*Input!$G$6*($J23/(2.54)^4))/(($B23/25.4)*($F23*0.00571)))^0.5)*25.4/1000</f>
        <v>7.1178178742237694</v>
      </c>
      <c r="T23" s="11">
        <f>((Input!$G$4*($J23/(2.54)^4)*(Input!$G$5))/(17.1*$F23*0.06854))^(1/4)*0.3048</f>
        <v>4.6895649286471102</v>
      </c>
      <c r="U23" s="11">
        <f>(((20*Input!$G$6*($J23/(2.54)^4))/(($B23/25.4)*($F23*0.00571)))^0.5)*25.4/1000</f>
        <v>6.4976490165430469</v>
      </c>
      <c r="V23" s="11">
        <f>((384*Input!$C$4*$J23*Input!$C$5)/(3*$F23*100000))^(1/4)</f>
        <v>4.9753694317084909</v>
      </c>
      <c r="W23" s="11">
        <f>(((200*Input!$C$6*($J23))/($B23*($F23)))^0.5)</f>
        <v>6.4975146181105501</v>
      </c>
      <c r="X23" s="11">
        <f t="shared" si="2"/>
        <v>4.3788810317297191</v>
      </c>
      <c r="Y23" s="26">
        <v>6</v>
      </c>
      <c r="Z23" s="26">
        <v>6</v>
      </c>
      <c r="AA23" s="26">
        <v>5</v>
      </c>
      <c r="AB23" s="26" t="s">
        <v>6</v>
      </c>
      <c r="AC23" s="26" t="s">
        <v>6</v>
      </c>
      <c r="AD23" s="33" t="s">
        <v>6</v>
      </c>
    </row>
    <row r="24" spans="1:30" hidden="1" x14ac:dyDescent="0.2">
      <c r="A24" s="9">
        <v>3</v>
      </c>
      <c r="B24" s="6">
        <v>88.9</v>
      </c>
      <c r="C24" s="5" t="s">
        <v>9</v>
      </c>
      <c r="D24" s="7">
        <v>7.62</v>
      </c>
      <c r="E24" s="8">
        <v>100</v>
      </c>
      <c r="F24" s="8">
        <f t="shared" si="0"/>
        <v>308.05587457861969</v>
      </c>
      <c r="G24" s="8">
        <f>(3.14*(B24+E24)*E24*Input!C$2/1000000)*9.81</f>
        <v>116.37524520000004</v>
      </c>
      <c r="H24" s="8">
        <f>((3.14*(B24-2*D24)^2)/4*Input!C$3/1000000)*9.81</f>
        <v>41.783238046260017</v>
      </c>
      <c r="I24" s="8">
        <f>(Input!C$8/1067)*'Insul+Water'!B24</f>
        <v>1.3747422680412373</v>
      </c>
      <c r="J24" s="12">
        <f t="shared" si="1"/>
        <v>162.15605813760931</v>
      </c>
      <c r="K24" s="11">
        <f>(Input!C$9*(Input!C$7+I24)*D24^2)/(0.644*F24*((B24/2)*D24)^0.5)</f>
        <v>108.01542472097626</v>
      </c>
      <c r="L24" s="11">
        <f>((384*Input!$C$4*$J24*Input!$C$5)/(5*$F24*100000))^(1/4)</f>
        <v>4.5455056864186769</v>
      </c>
      <c r="M24" s="11">
        <f>((160*Input!$C$6*$J24)/(B24*$F24))^0.5</f>
        <v>5.6754514258345248</v>
      </c>
      <c r="N24" s="11">
        <f>((384*Input!$C$4*$J24*Input!$C$5)/(($F24*100000)))^(1/4)</f>
        <v>6.7971163882202967</v>
      </c>
      <c r="O24" s="11">
        <f>((240*Input!$C$6*$J24)/($B24*$F24))^0.5</f>
        <v>6.9509800266229158</v>
      </c>
      <c r="P24" s="11">
        <f>((185*Input!$G$4*($J24/(2.54)^4)*(Input!$G$5))/($F24*0.00571))^(1/4)*25.4/1000</f>
        <v>5.662905626136193</v>
      </c>
      <c r="Q24" s="11">
        <f>(((16*Input!$G$6*($J24/(2.54)^4))/(($B24/25.4)*($F24*0.00571)))^0.5)*25.4/1000</f>
        <v>5.6755688202260988</v>
      </c>
      <c r="R24" s="11">
        <f>((384*Input!$G$4*($J24/(2.54)^4)*(Input!$G$5))/($F24*0.00571))^(1/4)*25.4/1000</f>
        <v>6.7971866856430703</v>
      </c>
      <c r="S24" s="11">
        <f>(((24*Input!$G$6*($J24/(2.54)^4))/(($B24/25.4)*($F24*0.00571)))^0.5)*25.4/1000</f>
        <v>6.9511238048019264</v>
      </c>
      <c r="T24" s="11">
        <f>((Input!$G$4*($J24/(2.54)^4)*(Input!$G$5))/(17.1*$F24*0.06854))^(1/4)*0.3048</f>
        <v>4.8680116896381511</v>
      </c>
      <c r="U24" s="11">
        <f>(((20*Input!$G$6*($J24/(2.54)^4))/(($B24/25.4)*($F24*0.00571)))^0.5)*25.4/1000</f>
        <v>6.345478846501921</v>
      </c>
      <c r="V24" s="11">
        <f>((384*Input!$C$4*$J24*Input!$C$5)/(3*$F24*100000))^(1/4)</f>
        <v>5.1646915912970464</v>
      </c>
      <c r="W24" s="11">
        <f>(((200*Input!$C$6*($J24))/($B24*($F24)))^0.5)</f>
        <v>6.3453475955820524</v>
      </c>
      <c r="X24" s="11">
        <f t="shared" si="2"/>
        <v>4.5455056864186769</v>
      </c>
      <c r="Y24" s="26">
        <v>6.5</v>
      </c>
      <c r="Z24" s="26">
        <v>6.5</v>
      </c>
      <c r="AA24" s="26">
        <v>6</v>
      </c>
      <c r="AB24" s="26">
        <v>4.4000000000000004</v>
      </c>
      <c r="AC24" s="26">
        <v>7.4</v>
      </c>
      <c r="AD24" s="32">
        <f t="shared" ref="AD24:AD37" si="4">AB24/MIN(L24:W24)</f>
        <v>0.96798910914281178</v>
      </c>
    </row>
    <row r="25" spans="1:30" hidden="1" x14ac:dyDescent="0.2">
      <c r="A25" s="9">
        <v>4</v>
      </c>
      <c r="B25" s="6">
        <v>114.3</v>
      </c>
      <c r="C25" s="5" t="s">
        <v>9</v>
      </c>
      <c r="D25" s="7">
        <v>8.56</v>
      </c>
      <c r="E25" s="8">
        <v>100</v>
      </c>
      <c r="F25" s="8">
        <f t="shared" si="0"/>
        <v>423.8125550275148</v>
      </c>
      <c r="G25" s="8">
        <f>(3.14*(B25+E25)*E25*Input!C$2/1000000)*9.81</f>
        <v>132.02337240000003</v>
      </c>
      <c r="H25" s="8">
        <f>((3.14*(B25-2*D25)^2)/4*Input!C$3/1000000)*9.81</f>
        <v>72.726460839539996</v>
      </c>
      <c r="I25" s="8">
        <f>(Input!C$8/1067)*'Insul+Water'!B25</f>
        <v>1.7675257731958762</v>
      </c>
      <c r="J25" s="12">
        <f t="shared" si="1"/>
        <v>400.17990346454081</v>
      </c>
      <c r="K25" s="11">
        <f>(Input!C$9*(Input!C$7+I25)*D25^2)/(0.644*F25*((B25/2)*D25)^0.5)</f>
        <v>82.761215933736125</v>
      </c>
      <c r="L25" s="11">
        <f>((384*Input!$C$4*$J25*Input!$C$5)/(5*$F25*100000))^(1/4)</f>
        <v>5.2604954440694067</v>
      </c>
      <c r="M25" s="11">
        <f>((160*Input!$C$6*$J25)/(B25*$F25))^0.5</f>
        <v>6.7037384722216586</v>
      </c>
      <c r="N25" s="11">
        <f>((384*Input!$C$4*$J25*Input!$C$5)/(($F25*100000)))^(1/4)</f>
        <v>7.8662754509089714</v>
      </c>
      <c r="O25" s="11">
        <f>((240*Input!$C$6*$J25)/($B25*$F25))^0.5</f>
        <v>8.2103693130039623</v>
      </c>
      <c r="P25" s="11">
        <f>((185*Input!$G$4*($J25/(2.54)^4)*(Input!$G$5))/($F25*0.00571))^(1/4)*25.4/1000</f>
        <v>6.5536578989421965</v>
      </c>
      <c r="Q25" s="11">
        <f>(((16*Input!$G$6*($J25/(2.54)^4))/(($B25/25.4)*($F25*0.00571)))^0.5)*25.4/1000</f>
        <v>6.7038771363102345</v>
      </c>
      <c r="R25" s="11">
        <f>((384*Input!$G$4*($J25/(2.54)^4)*(Input!$G$5))/($F25*0.00571))^(1/4)*25.4/1000</f>
        <v>7.8663568058335311</v>
      </c>
      <c r="S25" s="11">
        <f>(((24*Input!$G$6*($J25/(2.54)^4))/(($B25/25.4)*($F25*0.00571)))^0.5)*25.4/1000</f>
        <v>8.2105391411352926</v>
      </c>
      <c r="T25" s="11">
        <f>((Input!$G$4*($J25/(2.54)^4)*(Input!$G$5))/(17.1*$F25*0.06854))^(1/4)*0.3048</f>
        <v>5.6337303441356621</v>
      </c>
      <c r="U25" s="11">
        <f>(((20*Input!$G$6*($J25/(2.54)^4))/(($B25/25.4)*($F25*0.00571)))^0.5)*25.4/1000</f>
        <v>7.4951624947981532</v>
      </c>
      <c r="V25" s="11">
        <f>((384*Input!$C$4*$J25*Input!$C$5)/(3*$F25*100000))^(1/4)</f>
        <v>5.9770768007657082</v>
      </c>
      <c r="W25" s="11">
        <f>(((200*Input!$C$6*($J25))/($B25*($F25)))^0.5)</f>
        <v>7.4950074636341064</v>
      </c>
      <c r="X25" s="11">
        <f t="shared" si="2"/>
        <v>5.2604954440694067</v>
      </c>
      <c r="Y25" s="26">
        <v>7.5</v>
      </c>
      <c r="Z25" s="26">
        <v>7.5</v>
      </c>
      <c r="AA25" s="26">
        <v>6.5</v>
      </c>
      <c r="AB25" s="26">
        <v>5.95</v>
      </c>
      <c r="AC25" s="26">
        <v>8.5</v>
      </c>
      <c r="AD25" s="32">
        <f t="shared" si="4"/>
        <v>1.1310721705325169</v>
      </c>
    </row>
    <row r="26" spans="1:30" hidden="1" x14ac:dyDescent="0.2">
      <c r="A26" s="9">
        <v>6</v>
      </c>
      <c r="B26" s="6">
        <v>168.27</v>
      </c>
      <c r="C26" s="5" t="s">
        <v>9</v>
      </c>
      <c r="D26" s="7">
        <v>10.97</v>
      </c>
      <c r="E26" s="8">
        <v>100</v>
      </c>
      <c r="F26" s="8">
        <f t="shared" si="0"/>
        <v>747.79587975788286</v>
      </c>
      <c r="G26" s="8">
        <f>(3.14*(B26+E26)*E26*Input!C$2/1000000)*9.81</f>
        <v>165.27256236000002</v>
      </c>
      <c r="H26" s="8">
        <f>((3.14*(B26-2*D26)^2)/4*Input!C$3/1000000)*9.81</f>
        <v>164.89421112856505</v>
      </c>
      <c r="I26" s="8">
        <f>(Input!C$8/1067)*'Insul+Water'!B26</f>
        <v>2.6021134020618559</v>
      </c>
      <c r="J26" s="12">
        <f t="shared" si="1"/>
        <v>1685.4918533955984</v>
      </c>
      <c r="K26" s="11">
        <f>(Input!C$9*(Input!C$7+I26)*D26^2)/(0.644*F26*((B26/2)*D26)^0.5)</f>
        <v>56.543640382637342</v>
      </c>
      <c r="L26" s="11">
        <f>((384*Input!$C$4*$J26*Input!$C$5)/(5*$F26*100000))^(1/4)</f>
        <v>6.5387115918681165</v>
      </c>
      <c r="M26" s="11">
        <f>((160*Input!$C$6*$J26)/(B26*$F26))^0.5</f>
        <v>8.536265167574026</v>
      </c>
      <c r="N26" s="11">
        <f>((384*Input!$C$4*$J26*Input!$C$5)/(($F26*100000)))^(1/4)</f>
        <v>9.7776544096570568</v>
      </c>
      <c r="O26" s="11">
        <f>((240*Input!$C$6*$J26)/($B26*$F26))^0.5</f>
        <v>10.454746984824951</v>
      </c>
      <c r="P26" s="11">
        <f>((185*Input!$G$4*($J26/(2.54)^4)*(Input!$G$5))/($F26*0.00571))^(1/4)*25.4/1000</f>
        <v>8.1460918137021814</v>
      </c>
      <c r="Q26" s="11">
        <f>(((16*Input!$G$6*($J26/(2.54)^4))/(($B26/25.4)*($F26*0.00571)))^0.5)*25.4/1000</f>
        <v>8.53644173672782</v>
      </c>
      <c r="R26" s="11">
        <f>((384*Input!$G$4*($J26/(2.54)^4)*(Input!$G$5))/($F26*0.00571))^(1/4)*25.4/1000</f>
        <v>9.7777555325254184</v>
      </c>
      <c r="S26" s="11">
        <f>(((24*Input!$G$6*($J26/(2.54)^4))/(($B26/25.4)*($F26*0.00571)))^0.5)*25.4/1000</f>
        <v>10.454963236990507</v>
      </c>
      <c r="T26" s="11">
        <f>((Input!$G$4*($J26/(2.54)^4)*(Input!$G$5))/(17.1*$F26*0.06854))^(1/4)*0.3048</f>
        <v>7.0026365954158951</v>
      </c>
      <c r="U26" s="11">
        <f>(((20*Input!$G$6*($J26/(2.54)^4))/(($B26/25.4)*($F26*0.00571)))^0.5)*25.4/1000</f>
        <v>9.544032004644885</v>
      </c>
      <c r="V26" s="11">
        <f>((384*Input!$C$4*$J26*Input!$C$5)/(3*$F26*100000))^(1/4)</f>
        <v>7.4294107424260858</v>
      </c>
      <c r="W26" s="11">
        <f>(((200*Input!$C$6*($J26))/($B26*($F26)))^0.5)</f>
        <v>9.5438345943295779</v>
      </c>
      <c r="X26" s="11">
        <f t="shared" si="2"/>
        <v>6.5387115918681165</v>
      </c>
      <c r="Y26" s="26">
        <v>9.5</v>
      </c>
      <c r="Z26" s="26">
        <v>9</v>
      </c>
      <c r="AA26" s="26">
        <v>8.5</v>
      </c>
      <c r="AB26" s="26">
        <v>7</v>
      </c>
      <c r="AC26" s="26"/>
      <c r="AD26" s="32">
        <f t="shared" si="4"/>
        <v>1.0705472938591702</v>
      </c>
    </row>
    <row r="27" spans="1:30" hidden="1" x14ac:dyDescent="0.2">
      <c r="A27" s="9">
        <v>8</v>
      </c>
      <c r="B27" s="6">
        <v>219.07</v>
      </c>
      <c r="C27" s="10" t="s">
        <v>10</v>
      </c>
      <c r="D27" s="8">
        <v>12.7</v>
      </c>
      <c r="E27" s="8">
        <v>120</v>
      </c>
      <c r="F27" s="8">
        <f t="shared" si="0"/>
        <v>1173.8282647166711</v>
      </c>
      <c r="G27" s="8">
        <f>(3.14*(B27+E27)*E27*Input!C$2/1000000)*9.81</f>
        <v>250.66821211200005</v>
      </c>
      <c r="H27" s="8">
        <f>((3.14*(B27-2*D27)^2)/4*Input!C$3/1000000)*9.81</f>
        <v>288.84401238856503</v>
      </c>
      <c r="I27" s="8">
        <f>(Input!C$8/1067)*'Insul+Water'!B27</f>
        <v>3.3876804123711342</v>
      </c>
      <c r="J27" s="12">
        <f t="shared" si="1"/>
        <v>4401.6125316967582</v>
      </c>
      <c r="K27" s="11">
        <f>(Input!C$9*(Input!C$7+I27)*D27^2)/(0.644*F27*((B27/2)*D27)^0.5)</f>
        <v>39.626187434330852</v>
      </c>
      <c r="L27" s="11">
        <f>((384*Input!$C$4*$J27*Input!$C$5)/(5*$F27*100000))^(1/4)</f>
        <v>7.4260538853896341</v>
      </c>
      <c r="M27" s="11">
        <f>((160*Input!$C$6*$J27)/(B27*$F27))^0.5</f>
        <v>9.6496512815503639</v>
      </c>
      <c r="N27" s="11">
        <f>((384*Input!$C$4*$J27*Input!$C$5)/(($F27*100000)))^(1/4)</f>
        <v>11.104540626800496</v>
      </c>
      <c r="O27" s="11">
        <f>((240*Input!$C$6*$J27)/($B27*$F27))^0.5</f>
        <v>11.818360917796083</v>
      </c>
      <c r="P27" s="11">
        <f>((185*Input!$G$4*($J27/(2.54)^4)*(Input!$G$5))/($F27*0.00571))^(1/4)*25.4/1000</f>
        <v>9.2515652225916245</v>
      </c>
      <c r="Q27" s="11">
        <f>(((16*Input!$G$6*($J27/(2.54)^4))/(($B27/25.4)*($F27*0.00571)))^0.5)*25.4/1000</f>
        <v>9.6498508806405709</v>
      </c>
      <c r="R27" s="11">
        <f>((384*Input!$G$4*($J27/(2.54)^4)*(Input!$G$5))/($F27*0.00571))^(1/4)*25.4/1000</f>
        <v>11.104655472647263</v>
      </c>
      <c r="S27" s="11">
        <f>(((24*Input!$G$6*($J27/(2.54)^4))/(($B27/25.4)*($F27*0.00571)))^0.5)*25.4/1000</f>
        <v>11.818605375758146</v>
      </c>
      <c r="T27" s="11">
        <f>((Input!$G$4*($J27/(2.54)^4)*(Input!$G$5))/(17.1*$F27*0.06854))^(1/4)*0.3048</f>
        <v>7.9529362882486199</v>
      </c>
      <c r="U27" s="11">
        <f>(((20*Input!$G$6*($J27/(2.54)^4))/(($B27/25.4)*($F27*0.00571)))^0.5)*25.4/1000</f>
        <v>10.788861270924262</v>
      </c>
      <c r="V27" s="11">
        <f>((384*Input!$C$4*$J27*Input!$C$5)/(3*$F27*100000))^(1/4)</f>
        <v>8.4376262410109213</v>
      </c>
      <c r="W27" s="11">
        <f>(((200*Input!$C$6*($J27))/($B27*($F27)))^0.5)</f>
        <v>10.788638112357287</v>
      </c>
      <c r="X27" s="11">
        <f t="shared" si="2"/>
        <v>7.4260538853896341</v>
      </c>
      <c r="Y27" s="26">
        <v>10.5</v>
      </c>
      <c r="Z27" s="26">
        <v>10</v>
      </c>
      <c r="AA27" s="26">
        <v>10</v>
      </c>
      <c r="AB27" s="26">
        <v>8</v>
      </c>
      <c r="AC27" s="26"/>
      <c r="AD27" s="32">
        <f t="shared" si="4"/>
        <v>1.0772881699309473</v>
      </c>
    </row>
    <row r="28" spans="1:30" hidden="1" x14ac:dyDescent="0.2">
      <c r="A28" s="9">
        <v>10</v>
      </c>
      <c r="B28" s="6">
        <v>273.05</v>
      </c>
      <c r="C28" s="10" t="s">
        <v>10</v>
      </c>
      <c r="D28" s="8">
        <v>12.7</v>
      </c>
      <c r="E28" s="8">
        <v>120</v>
      </c>
      <c r="F28" s="8">
        <f t="shared" si="0"/>
        <v>1563.105256426566</v>
      </c>
      <c r="G28" s="8">
        <f>(3.14*(B28+E28)*E28*Input!C$2/1000000)*9.81</f>
        <v>290.57463288000002</v>
      </c>
      <c r="H28" s="8">
        <f>((3.14*(B28-2*D28)^2)/4*Input!C$3/1000000)*9.81</f>
        <v>472.29715419412514</v>
      </c>
      <c r="I28" s="8">
        <f>(Input!C$8/1067)*'Insul+Water'!B28</f>
        <v>4.2224226804123717</v>
      </c>
      <c r="J28" s="12">
        <f t="shared" si="1"/>
        <v>8825.4206848138547</v>
      </c>
      <c r="K28" s="11">
        <f>(Input!C$9*(Input!C$7+I28)*D28^2)/(0.644*F28*((B28/2)*D28)^0.5)</f>
        <v>26.869610122959969</v>
      </c>
      <c r="L28" s="11">
        <f>((384*Input!$C$4*$J28*Input!$C$5)/(5*$F28*100000))^(1/4)</f>
        <v>8.2260829160588553</v>
      </c>
      <c r="M28" s="11">
        <f>((160*Input!$C$6*$J28)/(B28*$F28))^0.5</f>
        <v>10.606008131820198</v>
      </c>
      <c r="N28" s="11">
        <f>((384*Input!$C$4*$J28*Input!$C$5)/(($F28*100000)))^(1/4)</f>
        <v>12.300863062753312</v>
      </c>
      <c r="O28" s="11">
        <f>((240*Input!$C$6*$J28)/($B28*$F28))^0.5</f>
        <v>12.989654065384277</v>
      </c>
      <c r="P28" s="11">
        <f>((185*Input!$G$4*($J28/(2.54)^4)*(Input!$G$5))/($F28*0.00571))^(1/4)*25.4/1000</f>
        <v>10.248261566495763</v>
      </c>
      <c r="Q28" s="11">
        <f>(((16*Input!$G$6*($J28/(2.54)^4))/(($B28/25.4)*($F28*0.00571)))^0.5)*25.4/1000</f>
        <v>10.60622751276072</v>
      </c>
      <c r="R28" s="11">
        <f>((384*Input!$G$4*($J28/(2.54)^4)*(Input!$G$5))/($F28*0.00571))^(1/4)*25.4/1000</f>
        <v>12.300990281256254</v>
      </c>
      <c r="S28" s="11">
        <f>(((24*Input!$G$6*($J28/(2.54)^4))/(($B28/25.4)*($F28*0.00571)))^0.5)*25.4/1000</f>
        <v>12.989922751066059</v>
      </c>
      <c r="T28" s="11">
        <f>((Input!$G$4*($J28/(2.54)^4)*(Input!$G$5))/(17.1*$F28*0.06854))^(1/4)*0.3048</f>
        <v>8.8097277966134673</v>
      </c>
      <c r="U28" s="11">
        <f>(((20*Input!$G$6*($J28/(2.54)^4))/(($B28/25.4)*($F28*0.00571)))^0.5)*25.4/1000</f>
        <v>11.858122851680742</v>
      </c>
      <c r="V28" s="11">
        <f>((384*Input!$C$4*$J28*Input!$C$5)/(3*$F28*100000))^(1/4)</f>
        <v>9.3466347193935118</v>
      </c>
      <c r="W28" s="11">
        <f>(((200*Input!$C$6*($J28))/($B28*($F28)))^0.5)</f>
        <v>11.857877576332758</v>
      </c>
      <c r="X28" s="11">
        <f t="shared" si="2"/>
        <v>8.2260829160588553</v>
      </c>
      <c r="Y28" s="26">
        <v>11.5</v>
      </c>
      <c r="Z28" s="26">
        <v>11.5</v>
      </c>
      <c r="AA28" s="26">
        <v>10.5</v>
      </c>
      <c r="AB28" s="26">
        <v>8.85</v>
      </c>
      <c r="AC28" s="26"/>
      <c r="AD28" s="32">
        <f t="shared" si="4"/>
        <v>1.0758461943926119</v>
      </c>
    </row>
    <row r="29" spans="1:30" hidden="1" x14ac:dyDescent="0.2">
      <c r="A29" s="9">
        <v>12</v>
      </c>
      <c r="B29" s="6">
        <v>323.85000000000002</v>
      </c>
      <c r="C29" s="10" t="s">
        <v>10</v>
      </c>
      <c r="D29" s="8">
        <v>12.7</v>
      </c>
      <c r="E29" s="8">
        <v>120</v>
      </c>
      <c r="F29" s="8">
        <f t="shared" si="0"/>
        <v>1970.4399342757733</v>
      </c>
      <c r="G29" s="8">
        <f>(3.14*(B29+E29)*E29*Input!C$2/1000000)*9.81</f>
        <v>328.13013816000006</v>
      </c>
      <c r="H29" s="8">
        <f>((3.14*(B29-2*D29)^2)/4*Input!C$3/1000000)*9.81</f>
        <v>685.93321079212524</v>
      </c>
      <c r="I29" s="8">
        <f>(Input!C$8/1067)*'Insul+Water'!B29</f>
        <v>5.0079896907216499</v>
      </c>
      <c r="J29" s="12">
        <f t="shared" si="1"/>
        <v>15054.377948930842</v>
      </c>
      <c r="K29" s="11">
        <f>(Input!C$9*(Input!C$7+I29)*D29^2)/(0.644*F29*((B29/2)*D29)^0.5)</f>
        <v>19.71953671598931</v>
      </c>
      <c r="L29" s="11">
        <f>((384*Input!$C$4*$J29*Input!$C$5)/(5*$F29*100000))^(1/4)</f>
        <v>8.8721972401492675</v>
      </c>
      <c r="M29" s="11">
        <f>((160*Input!$C$6*$J29)/(B29*$F29))^0.5</f>
        <v>11.328627747858283</v>
      </c>
      <c r="N29" s="11">
        <f>((384*Input!$C$4*$J29*Input!$C$5)/(($F29*100000)))^(1/4)</f>
        <v>13.267029329811487</v>
      </c>
      <c r="O29" s="11">
        <f>((240*Input!$C$6*$J29)/($B29*$F29))^0.5</f>
        <v>13.87467873409388</v>
      </c>
      <c r="P29" s="11">
        <f>((185*Input!$G$4*($J29/(2.54)^4)*(Input!$G$5))/($F29*0.00571))^(1/4)*25.4/1000</f>
        <v>11.053207087068106</v>
      </c>
      <c r="Q29" s="11">
        <f>(((16*Input!$G$6*($J29/(2.54)^4))/(($B29/25.4)*($F29*0.00571)))^0.5)*25.4/1000</f>
        <v>11.328862075890024</v>
      </c>
      <c r="R29" s="11">
        <f>((384*Input!$G$4*($J29/(2.54)^4)*(Input!$G$5))/($F29*0.00571))^(1/4)*25.4/1000</f>
        <v>13.267166540639796</v>
      </c>
      <c r="S29" s="11">
        <f>(((24*Input!$G$6*($J29/(2.54)^4))/(($B29/25.4)*($F29*0.00571)))^0.5)*25.4/1000</f>
        <v>13.874965726148973</v>
      </c>
      <c r="T29" s="11">
        <f>((Input!$G$4*($J29/(2.54)^4)*(Input!$G$5))/(17.1*$F29*0.06854))^(1/4)*0.3048</f>
        <v>9.5016842695560619</v>
      </c>
      <c r="U29" s="11">
        <f>(((20*Input!$G$6*($J29/(2.54)^4))/(($B29/25.4)*($F29*0.00571)))^0.5)*25.4/1000</f>
        <v>12.666052854704734</v>
      </c>
      <c r="V29" s="11">
        <f>((384*Input!$C$4*$J29*Input!$C$5)/(3*$F29*100000))^(1/4)</f>
        <v>10.080762327377101</v>
      </c>
      <c r="W29" s="11">
        <f>(((200*Input!$C$6*($J29))/($B29*($F29)))^0.5)</f>
        <v>12.665790868000736</v>
      </c>
      <c r="X29" s="11">
        <f t="shared" si="2"/>
        <v>8.8721972401492675</v>
      </c>
      <c r="Y29" s="26">
        <v>12.5</v>
      </c>
      <c r="Z29" s="26">
        <v>12</v>
      </c>
      <c r="AA29" s="26">
        <v>11.5</v>
      </c>
      <c r="AB29" s="26">
        <v>9.4499999999999993</v>
      </c>
      <c r="AC29" s="26"/>
      <c r="AD29" s="32">
        <f t="shared" si="4"/>
        <v>1.0651251030844993</v>
      </c>
    </row>
    <row r="30" spans="1:30" hidden="1" x14ac:dyDescent="0.2">
      <c r="A30" s="9">
        <v>14</v>
      </c>
      <c r="B30" s="6">
        <v>355.6</v>
      </c>
      <c r="C30" s="10" t="s">
        <v>10</v>
      </c>
      <c r="D30" s="8">
        <v>12.7</v>
      </c>
      <c r="E30" s="8">
        <v>120</v>
      </c>
      <c r="F30" s="8">
        <f t="shared" si="0"/>
        <v>2245.207746999653</v>
      </c>
      <c r="G30" s="8">
        <f>(3.14*(B30+E30)*E30*Input!C$2/1000000)*9.81</f>
        <v>351.60232896000002</v>
      </c>
      <c r="H30" s="8">
        <f>((3.14*(B30-2*D30)^2)/4*Input!C$3/1000000)*9.81</f>
        <v>839.63938523400043</v>
      </c>
      <c r="I30" s="8">
        <f>(Input!C$8/1067)*'Insul+Water'!B30</f>
        <v>5.4989690721649493</v>
      </c>
      <c r="J30" s="12">
        <f t="shared" si="1"/>
        <v>20143.190758941117</v>
      </c>
      <c r="K30" s="11">
        <f>(Input!C$9*(Input!C$7+I30)*D30^2)/(0.644*F30*((B30/2)*D30)^0.5)</f>
        <v>16.592824592201048</v>
      </c>
      <c r="L30" s="11">
        <f>((384*Input!$C$4*$J30*Input!$C$5)/(5*$F30*100000))^(1/4)</f>
        <v>9.235793581394514</v>
      </c>
      <c r="M30" s="11">
        <f>((160*Input!$C$6*$J30)/(B30*$F30))^0.5</f>
        <v>11.715327681480384</v>
      </c>
      <c r="N30" s="11">
        <f>((384*Input!$C$4*$J30*Input!$C$5)/(($F30*100000)))^(1/4)</f>
        <v>13.810732675549056</v>
      </c>
      <c r="O30" s="11">
        <f>((240*Input!$C$6*$J30)/($B30*$F30))^0.5</f>
        <v>14.348287494565016</v>
      </c>
      <c r="P30" s="11">
        <f>((185*Input!$G$4*($J30/(2.54)^4)*(Input!$G$5))/($F30*0.00571))^(1/4)*25.4/1000</f>
        <v>11.506184579238505</v>
      </c>
      <c r="Q30" s="11">
        <f>(((16*Input!$G$6*($J30/(2.54)^4))/(($B30/25.4)*($F30*0.00571)))^0.5)*25.4/1000</f>
        <v>11.715570008242093</v>
      </c>
      <c r="R30" s="11">
        <f>((384*Input!$G$4*($J30/(2.54)^4)*(Input!$G$5))/($F30*0.00571))^(1/4)*25.4/1000</f>
        <v>13.810875509488957</v>
      </c>
      <c r="S30" s="11">
        <f>(((24*Input!$G$6*($J30/(2.54)^4))/(($B30/25.4)*($F30*0.00571)))^0.5)*25.4/1000</f>
        <v>14.348584283023623</v>
      </c>
      <c r="T30" s="11">
        <f>((Input!$G$4*($J30/(2.54)^4)*(Input!$G$5))/(17.1*$F30*0.06854))^(1/4)*0.3048</f>
        <v>9.8910779611710531</v>
      </c>
      <c r="U30" s="11">
        <f>(((20*Input!$G$6*($J30/(2.54)^4))/(($B30/25.4)*($F30*0.00571)))^0.5)*25.4/1000</f>
        <v>13.098405466793546</v>
      </c>
      <c r="V30" s="11">
        <f>((384*Input!$C$4*$J30*Input!$C$5)/(3*$F30*100000))^(1/4)</f>
        <v>10.493887531876672</v>
      </c>
      <c r="W30" s="11">
        <f>(((200*Input!$C$6*($J30))/($B30*($F30)))^0.5)</f>
        <v>13.098134537237572</v>
      </c>
      <c r="X30" s="11">
        <f t="shared" si="2"/>
        <v>9.235793581394514</v>
      </c>
      <c r="Y30" s="26">
        <v>13</v>
      </c>
      <c r="Z30" s="26">
        <v>12.5</v>
      </c>
      <c r="AA30" s="26">
        <v>12</v>
      </c>
      <c r="AB30" s="26">
        <v>10.15</v>
      </c>
      <c r="AC30" s="26"/>
      <c r="AD30" s="32">
        <f t="shared" si="4"/>
        <v>1.0989851506043999</v>
      </c>
    </row>
    <row r="31" spans="1:30" hidden="1" x14ac:dyDescent="0.2">
      <c r="A31" s="9">
        <v>16</v>
      </c>
      <c r="B31" s="6">
        <v>406.4</v>
      </c>
      <c r="C31" s="10" t="s">
        <v>10</v>
      </c>
      <c r="D31" s="8">
        <v>12.7</v>
      </c>
      <c r="E31" s="8">
        <v>120</v>
      </c>
      <c r="F31" s="8">
        <f t="shared" si="0"/>
        <v>2717.130069866862</v>
      </c>
      <c r="G31" s="8">
        <f>(3.14*(B31+E31)*E31*Input!C$2/1000000)*9.81</f>
        <v>389.15783424000006</v>
      </c>
      <c r="H31" s="8">
        <f>((3.14*(B31-2*D31)^2)/4*Input!C$3/1000000)*9.81</f>
        <v>1117.8630868500002</v>
      </c>
      <c r="I31" s="8">
        <f>(Input!C$8/1067)*'Insul+Water'!B31</f>
        <v>6.2845360824742267</v>
      </c>
      <c r="J31" s="12">
        <f t="shared" si="1"/>
        <v>30477.434541508992</v>
      </c>
      <c r="K31" s="11">
        <f>(Input!C$9*(Input!C$7+I31)*D31^2)/(0.644*F31*((B31/2)*D31)^0.5)</f>
        <v>12.920886676336288</v>
      </c>
      <c r="L31" s="11">
        <f>((384*Input!$C$4*$J31*Input!$C$5)/(5*$F31*100000))^(1/4)</f>
        <v>9.766147498626319</v>
      </c>
      <c r="M31" s="11">
        <f>((160*Input!$C$6*$J31)/(B31*$F31))^0.5</f>
        <v>12.253399395730577</v>
      </c>
      <c r="N31" s="11">
        <f>((384*Input!$C$4*$J31*Input!$C$5)/(($F31*100000)))^(1/4)</f>
        <v>14.603796759297534</v>
      </c>
      <c r="O31" s="11">
        <f>((240*Input!$C$6*$J31)/($B31*$F31))^0.5</f>
        <v>15.007288067033821</v>
      </c>
      <c r="P31" s="11">
        <f>((185*Input!$G$4*($J31/(2.54)^4)*(Input!$G$5))/($F31*0.00571))^(1/4)*25.4/1000</f>
        <v>12.166912865358327</v>
      </c>
      <c r="Q31" s="11">
        <f>(((16*Input!$G$6*($J31/(2.54)^4))/(($B31/25.4)*($F31*0.00571)))^0.5)*25.4/1000</f>
        <v>12.253652852285633</v>
      </c>
      <c r="R31" s="11">
        <f>((384*Input!$G$4*($J31/(2.54)^4)*(Input!$G$5))/($F31*0.00571))^(1/4)*25.4/1000</f>
        <v>14.60394779529814</v>
      </c>
      <c r="S31" s="11">
        <f>(((24*Input!$G$6*($J31/(2.54)^4))/(($B31/25.4)*($F31*0.00571)))^0.5)*25.4/1000</f>
        <v>15.007598486649748</v>
      </c>
      <c r="T31" s="11">
        <f>((Input!$G$4*($J31/(2.54)^4)*(Input!$G$5))/(17.1*$F31*0.06854))^(1/4)*0.3048</f>
        <v>10.459060765910197</v>
      </c>
      <c r="U31" s="11">
        <f>(((20*Input!$G$6*($J31/(2.54)^4))/(($B31/25.4)*($F31*0.00571)))^0.5)*25.4/1000</f>
        <v>13.700000375197435</v>
      </c>
      <c r="V31" s="11">
        <f>((384*Input!$C$4*$J31*Input!$C$5)/(3*$F31*100000))^(1/4)</f>
        <v>11.096485923717349</v>
      </c>
      <c r="W31" s="11">
        <f>(((200*Input!$C$6*($J31))/($B31*($F31)))^0.5)</f>
        <v>13.699717002154209</v>
      </c>
      <c r="X31" s="11">
        <f t="shared" si="2"/>
        <v>9.766147498626319</v>
      </c>
      <c r="Y31" s="26">
        <v>13.5</v>
      </c>
      <c r="Z31" s="26">
        <v>13</v>
      </c>
      <c r="AA31" s="26">
        <v>13</v>
      </c>
      <c r="AB31" s="26">
        <v>10.7</v>
      </c>
      <c r="AC31" s="26"/>
      <c r="AD31" s="32">
        <f t="shared" si="4"/>
        <v>1.0956213800277985</v>
      </c>
    </row>
    <row r="32" spans="1:30" hidden="1" x14ac:dyDescent="0.2">
      <c r="A32" s="9">
        <v>18</v>
      </c>
      <c r="B32" s="6">
        <v>457.2</v>
      </c>
      <c r="C32" s="10" t="s">
        <v>10</v>
      </c>
      <c r="D32" s="8">
        <v>12.7</v>
      </c>
      <c r="E32" s="8">
        <v>120</v>
      </c>
      <c r="F32" s="8">
        <f t="shared" si="0"/>
        <v>3228.7986358220687</v>
      </c>
      <c r="G32" s="8">
        <f>(3.14*(B32+E32)*E32*Input!C$2/1000000)*9.81</f>
        <v>426.71333952000003</v>
      </c>
      <c r="H32" s="8">
        <f>((3.14*(B32-2*D32)^2)/4*Input!C$3/1000000)*9.81</f>
        <v>1435.8330315540002</v>
      </c>
      <c r="I32" s="8">
        <f>(Input!C$8/1067)*'Insul+Water'!B32</f>
        <v>7.0701030927835049</v>
      </c>
      <c r="J32" s="12">
        <f t="shared" si="1"/>
        <v>43853.085513250306</v>
      </c>
      <c r="K32" s="11">
        <f>(Input!C$9*(Input!C$7+I32)*D32^2)/(0.644*F32*((B32/2)*D32)^0.5)</f>
        <v>10.327225579912204</v>
      </c>
      <c r="L32" s="11">
        <f>((384*Input!$C$4*$J32*Input!$C$5)/(5*$F32*100000))^(1/4)</f>
        <v>10.244625409998658</v>
      </c>
      <c r="M32" s="11">
        <f>((160*Input!$C$6*$J32)/(B32*$F32))^0.5</f>
        <v>12.71235277758776</v>
      </c>
      <c r="N32" s="11">
        <f>((384*Input!$C$4*$J32*Input!$C$5)/(($F32*100000)))^(1/4)</f>
        <v>15.319288120909437</v>
      </c>
      <c r="O32" s="11">
        <f>((240*Input!$C$6*$J32)/($B32*$F32))^0.5</f>
        <v>15.569388867671233</v>
      </c>
      <c r="P32" s="11">
        <f>((185*Input!$G$4*($J32/(2.54)^4)*(Input!$G$5))/($F32*0.00571))^(1/4)*25.4/1000</f>
        <v>12.763012715016011</v>
      </c>
      <c r="Q32" s="11">
        <f>(((16*Input!$G$6*($J32/(2.54)^4))/(($B32/25.4)*($F32*0.00571)))^0.5)*25.4/1000</f>
        <v>12.712615727405819</v>
      </c>
      <c r="R32" s="11">
        <f>((384*Input!$G$4*($J32/(2.54)^4)*(Input!$G$5))/($F32*0.00571))^(1/4)*25.4/1000</f>
        <v>15.319446556694871</v>
      </c>
      <c r="S32" s="11">
        <f>(((24*Input!$G$6*($J32/(2.54)^4))/(($B32/25.4)*($F32*0.00571)))^0.5)*25.4/1000</f>
        <v>15.56971091411233</v>
      </c>
      <c r="T32" s="11">
        <f>((Input!$G$4*($J32/(2.54)^4)*(Input!$G$5))/(17.1*$F32*0.06854))^(1/4)*0.3048</f>
        <v>10.971486935071891</v>
      </c>
      <c r="U32" s="11">
        <f>(((20*Input!$G$6*($J32/(2.54)^4))/(($B32/25.4)*($F32*0.00571)))^0.5)*25.4/1000</f>
        <v>14.213136469156174</v>
      </c>
      <c r="V32" s="11">
        <f>((384*Input!$C$4*$J32*Input!$C$5)/(3*$F32*100000))^(1/4)</f>
        <v>11.640141793045521</v>
      </c>
      <c r="W32" s="11">
        <f>(((200*Input!$C$6*($J32))/($B32*($F32)))^0.5)</f>
        <v>14.21284248232225</v>
      </c>
      <c r="X32" s="11">
        <f t="shared" si="2"/>
        <v>10.244625409998658</v>
      </c>
      <c r="Y32" s="26">
        <v>14.5</v>
      </c>
      <c r="Z32" s="26">
        <v>14</v>
      </c>
      <c r="AA32" s="26">
        <v>13.5</v>
      </c>
      <c r="AB32" s="26">
        <v>11.1</v>
      </c>
      <c r="AC32" s="26"/>
      <c r="AD32" s="32">
        <f t="shared" si="4"/>
        <v>1.0834949601150379</v>
      </c>
    </row>
    <row r="33" spans="1:30" hidden="1" x14ac:dyDescent="0.2">
      <c r="A33" s="9">
        <v>20</v>
      </c>
      <c r="B33" s="6">
        <v>508</v>
      </c>
      <c r="C33" s="10" t="s">
        <v>10</v>
      </c>
      <c r="D33" s="8">
        <v>12.7</v>
      </c>
      <c r="E33" s="8">
        <v>140</v>
      </c>
      <c r="F33" s="8">
        <f t="shared" si="0"/>
        <v>3874.8414896652775</v>
      </c>
      <c r="G33" s="8">
        <f>(3.14*(B33+E33)*E33*Input!C$2/1000000)*9.81</f>
        <v>558.89688960000001</v>
      </c>
      <c r="H33" s="8">
        <f>((3.14*(B33-2*D33)^2)/4*Input!C$3/1000000)*9.81</f>
        <v>1793.5492193460002</v>
      </c>
      <c r="I33" s="8">
        <f>(Input!C$8/1067)*'Insul+Water'!B33</f>
        <v>7.855670103092784</v>
      </c>
      <c r="J33" s="12">
        <f t="shared" si="1"/>
        <v>60662.583311477778</v>
      </c>
      <c r="K33" s="11">
        <f>(Input!C$9*(Input!C$7+I33)*D33^2)/(0.644*F33*((B33/2)*D33)^0.5)</f>
        <v>8.2236893904247896</v>
      </c>
      <c r="L33" s="11">
        <f>((384*Input!$C$4*$J33*Input!$C$5)/(5*$F33*100000))^(1/4)</f>
        <v>10.615073959808104</v>
      </c>
      <c r="M33" s="11">
        <f>((160*Input!$C$6*$J33)/(B33*$F33))^0.5</f>
        <v>12.947951782764125</v>
      </c>
      <c r="N33" s="11">
        <f>((384*Input!$C$4*$J33*Input!$C$5)/(($F33*100000)))^(1/4)</f>
        <v>15.873237908372161</v>
      </c>
      <c r="O33" s="11">
        <f>((240*Input!$C$6*$J33)/($B33*$F33))^0.5</f>
        <v>15.857937540965944</v>
      </c>
      <c r="P33" s="11">
        <f>((185*Input!$G$4*($J33/(2.54)^4)*(Input!$G$5))/($F33*0.00571))^(1/4)*25.4/1000</f>
        <v>13.224526861434946</v>
      </c>
      <c r="Q33" s="11">
        <f>(((16*Input!$G$6*($J33/(2.54)^4))/(($B33/25.4)*($F33*0.00571)))^0.5)*25.4/1000</f>
        <v>12.948219605851248</v>
      </c>
      <c r="R33" s="11">
        <f>((384*Input!$G$4*($J33/(2.54)^4)*(Input!$G$5))/($F33*0.00571))^(1/4)*25.4/1000</f>
        <v>15.873402073240362</v>
      </c>
      <c r="S33" s="11">
        <f>(((24*Input!$G$6*($J33/(2.54)^4))/(($B33/25.4)*($F33*0.00571)))^0.5)*25.4/1000</f>
        <v>15.858265555918338</v>
      </c>
      <c r="T33" s="11">
        <f>((Input!$G$4*($J33/(2.54)^4)*(Input!$G$5))/(17.1*$F33*0.06854))^(1/4)*0.3048</f>
        <v>11.368219003028607</v>
      </c>
      <c r="U33" s="11">
        <f>(((20*Input!$G$6*($J33/(2.54)^4))/(($B33/25.4)*($F33*0.00571)))^0.5)*25.4/1000</f>
        <v>14.476549613139465</v>
      </c>
      <c r="V33" s="11">
        <f>((384*Input!$C$4*$J33*Input!$C$5)/(3*$F33*100000))^(1/4)</f>
        <v>12.061052609618814</v>
      </c>
      <c r="W33" s="11">
        <f>(((200*Input!$C$6*($J33))/($B33*($F33)))^0.5)</f>
        <v>14.476250177825086</v>
      </c>
      <c r="X33" s="11">
        <f t="shared" si="2"/>
        <v>10.615073959808104</v>
      </c>
      <c r="Y33" s="26">
        <v>15</v>
      </c>
      <c r="Z33" s="26">
        <v>14.5</v>
      </c>
      <c r="AA33" s="26">
        <v>14</v>
      </c>
      <c r="AB33" s="26">
        <v>11.95</v>
      </c>
      <c r="AC33" s="26"/>
      <c r="AD33" s="32">
        <f t="shared" si="4"/>
        <v>1.1257575825892812</v>
      </c>
    </row>
    <row r="34" spans="1:30" hidden="1" x14ac:dyDescent="0.2">
      <c r="A34" s="9">
        <v>24</v>
      </c>
      <c r="B34" s="6">
        <v>609.6</v>
      </c>
      <c r="C34" s="10" t="s">
        <v>10</v>
      </c>
      <c r="D34" s="8">
        <v>12.7</v>
      </c>
      <c r="E34" s="8">
        <v>140</v>
      </c>
      <c r="F34" s="8">
        <f t="shared" si="0"/>
        <v>5109.4283387756923</v>
      </c>
      <c r="G34" s="8">
        <f>(3.14*(B34+E34)*E34*Input!C$2/1000000)*9.81</f>
        <v>646.52640192000013</v>
      </c>
      <c r="H34" s="8">
        <f>((3.14*(B34-2*D34)^2)/4*Input!C$3/1000000)*9.81</f>
        <v>2628.2203241940006</v>
      </c>
      <c r="I34" s="8">
        <f>(Input!C$8/1067)*'Insul+Water'!B34</f>
        <v>9.4268041237113405</v>
      </c>
      <c r="J34" s="12">
        <f t="shared" si="1"/>
        <v>106152.87793664199</v>
      </c>
      <c r="K34" s="11">
        <f>(Input!C$9*(Input!C$7+I34)*D34^2)/(0.644*F34*((B34/2)*D34)^0.5)</f>
        <v>5.7761496775038523</v>
      </c>
      <c r="L34" s="11">
        <f>((384*Input!$C$4*$J34*Input!$C$5)/(5*$F34*100000))^(1/4)</f>
        <v>11.393211240860834</v>
      </c>
      <c r="M34" s="11">
        <f>((160*Input!$C$6*$J34)/(B34*$F34))^0.5</f>
        <v>13.616224425530039</v>
      </c>
      <c r="N34" s="11">
        <f>((384*Input!$C$4*$J34*Input!$C$5)/(($F34*100000)))^(1/4)</f>
        <v>17.036824543217154</v>
      </c>
      <c r="O34" s="11">
        <f>((240*Input!$C$6*$J34)/($B34*$F34))^0.5</f>
        <v>16.676401032884801</v>
      </c>
      <c r="P34" s="11">
        <f>((185*Input!$G$4*($J34/(2.54)^4)*(Input!$G$5))/($F34*0.00571))^(1/4)*25.4/1000</f>
        <v>14.193949911536023</v>
      </c>
      <c r="Q34" s="11">
        <f>(((16*Input!$G$6*($J34/(2.54)^4))/(($B34/25.4)*($F34*0.00571)))^0.5)*25.4/1000</f>
        <v>13.616506071563464</v>
      </c>
      <c r="R34" s="11">
        <f>((384*Input!$G$4*($J34/(2.54)^4)*(Input!$G$5))/($F34*0.00571))^(1/4)*25.4/1000</f>
        <v>17.037000742179956</v>
      </c>
      <c r="S34" s="11">
        <f>(((24*Input!$G$6*($J34/(2.54)^4))/(($B34/25.4)*($F34*0.00571)))^0.5)*25.4/1000</f>
        <v>16.676745977419788</v>
      </c>
      <c r="T34" s="11">
        <f>((Input!$G$4*($J34/(2.54)^4)*(Input!$G$5))/(17.1*$F34*0.06854))^(1/4)*0.3048</f>
        <v>12.201565530704476</v>
      </c>
      <c r="U34" s="11">
        <f>(((20*Input!$G$6*($J34/(2.54)^4))/(($B34/25.4)*($F34*0.00571)))^0.5)*25.4/1000</f>
        <v>15.223716596027263</v>
      </c>
      <c r="V34" s="11">
        <f>((384*Input!$C$4*$J34*Input!$C$5)/(3*$F34*100000))^(1/4)</f>
        <v>12.945187258121289</v>
      </c>
      <c r="W34" s="11">
        <f>(((200*Input!$C$6*($J34))/($B34*($F34)))^0.5)</f>
        <v>15.223401706189097</v>
      </c>
      <c r="X34" s="11">
        <f t="shared" si="2"/>
        <v>11.393211240860834</v>
      </c>
      <c r="Y34" s="26">
        <v>16</v>
      </c>
      <c r="Z34" s="26">
        <v>15</v>
      </c>
      <c r="AA34" s="26">
        <v>15</v>
      </c>
      <c r="AB34" s="26">
        <v>12.7</v>
      </c>
      <c r="AC34" s="26"/>
      <c r="AD34" s="32">
        <f t="shared" si="4"/>
        <v>1.1146988966949434</v>
      </c>
    </row>
    <row r="35" spans="1:30" hidden="1" x14ac:dyDescent="0.2">
      <c r="A35" s="5">
        <v>1</v>
      </c>
      <c r="B35" s="6">
        <v>33.4</v>
      </c>
      <c r="C35" s="10" t="s">
        <v>5</v>
      </c>
      <c r="D35" s="7">
        <v>2.77</v>
      </c>
      <c r="E35" s="8">
        <v>40</v>
      </c>
      <c r="F35" s="8">
        <f t="shared" si="0"/>
        <v>44.59940656925238</v>
      </c>
      <c r="G35" s="8">
        <f>(3.14*(B35+E35)*E35*Input!C$2/1000000)*9.81</f>
        <v>18.087756480000003</v>
      </c>
      <c r="H35" s="8">
        <f>((3.14*(B35-2*D35)^2)/4*Input!C$3/1000000)*9.81</f>
        <v>5.9772426726600001</v>
      </c>
      <c r="I35" s="8">
        <f>(Input!C$8/1067)*'Insul+Water'!B35</f>
        <v>0.51649484536082479</v>
      </c>
      <c r="J35" s="12">
        <f t="shared" si="1"/>
        <v>3.1527162320150941</v>
      </c>
      <c r="K35" s="11">
        <f>(Input!C$9*(Input!C$7+I35)*D35^2)/(0.644*F35*((B35/2)*D35)^0.5)</f>
        <v>264.5200578189519</v>
      </c>
      <c r="L35" s="11">
        <f>((384*Input!$C$4*$J35*Input!$C$5)/(5*$F35*100000))^(1/4)</f>
        <v>2.7516629432874162</v>
      </c>
      <c r="M35" s="11">
        <f>((160*Input!$C$6*$J35)/(B35*$F35))^0.5</f>
        <v>3.3931582737384249</v>
      </c>
      <c r="N35" s="11">
        <f>((384*Input!$C$4*$J35*Input!$C$5)/(($F35*100000)))^(1/4)</f>
        <v>4.1146958285764343</v>
      </c>
      <c r="O35" s="11">
        <f>((240*Input!$C$6*$J35)/($B35*$F35))^0.5</f>
        <v>4.1557531935810736</v>
      </c>
      <c r="P35" s="11">
        <f>((185*Input!$G$4*($J35/(2.54)^4)*(Input!$G$5))/($F35*0.00571))^(1/4)*25.4/1000</f>
        <v>3.4280910943155996</v>
      </c>
      <c r="Q35" s="11">
        <f>(((16*Input!$G$6*($J35/(2.54)^4))/(($B35/25.4)*($F35*0.00571)))^0.5)*25.4/1000</f>
        <v>3.3932284598295701</v>
      </c>
      <c r="R35" s="11">
        <f>((384*Input!$G$4*($J35/(2.54)^4)*(Input!$G$5))/($F35*0.00571))^(1/4)*25.4/1000</f>
        <v>4.1147383837565616</v>
      </c>
      <c r="S35" s="11">
        <f>(((24*Input!$G$6*($J35/(2.54)^4))/(($B35/25.4)*($F35*0.00571)))^0.5)*25.4/1000</f>
        <v>4.1558391536362471</v>
      </c>
      <c r="T35" s="11">
        <f>((Input!$G$4*($J35/(2.54)^4)*(Input!$G$5))/(17.1*$F35*0.06854))^(1/4)*0.3048</f>
        <v>2.9468948667009682</v>
      </c>
      <c r="U35" s="11">
        <f>(((20*Input!$G$6*($J35/(2.54)^4))/(($B35/25.4)*($F35*0.00571)))^0.5)*25.4/1000</f>
        <v>3.7937447496829173</v>
      </c>
      <c r="V35" s="11">
        <f>((384*Input!$C$4*$J35*Input!$C$5)/(3*$F35*100000))^(1/4)</f>
        <v>3.1264927261541229</v>
      </c>
      <c r="W35" s="11">
        <f>(((200*Input!$C$6*($J35))/($B35*($F35)))^0.5)</f>
        <v>3.7936662792474793</v>
      </c>
      <c r="X35" s="11">
        <f t="shared" si="2"/>
        <v>2.7516629432874162</v>
      </c>
      <c r="Y35" s="26">
        <v>4</v>
      </c>
      <c r="Z35" s="26">
        <v>3</v>
      </c>
      <c r="AA35" s="26">
        <v>2.5</v>
      </c>
      <c r="AB35" s="26">
        <v>3.2</v>
      </c>
      <c r="AC35" s="26">
        <v>4.0999999999999996</v>
      </c>
      <c r="AD35" s="32">
        <f t="shared" si="4"/>
        <v>1.1629331302390382</v>
      </c>
    </row>
    <row r="36" spans="1:30" hidden="1" x14ac:dyDescent="0.2">
      <c r="A36" s="5">
        <v>1.5</v>
      </c>
      <c r="B36" s="6">
        <v>48.26</v>
      </c>
      <c r="C36" s="10" t="s">
        <v>5</v>
      </c>
      <c r="D36" s="7">
        <v>2.77</v>
      </c>
      <c r="E36" s="8">
        <v>50</v>
      </c>
      <c r="F36" s="8">
        <f t="shared" si="0"/>
        <v>74.818038070330729</v>
      </c>
      <c r="G36" s="8">
        <f>(3.14*(B36+E36)*E36*Input!C$2/1000000)*9.81</f>
        <v>30.267420839999996</v>
      </c>
      <c r="H36" s="8">
        <f>((3.14*(B36-2*D36)^2)/4*Input!C$3/1000000)*9.81</f>
        <v>14.054038928640001</v>
      </c>
      <c r="I36" s="8">
        <f>(Input!C$8/1067)*'Insul+Water'!B36</f>
        <v>0.74628865979381442</v>
      </c>
      <c r="J36" s="12">
        <f t="shared" si="1"/>
        <v>10.281623065656644</v>
      </c>
      <c r="K36" s="11">
        <f>(Input!C$9*(Input!C$7+I36)*D36^2)/(0.644*F36*((B36/2)*D36)^0.5)</f>
        <v>131.47787272295864</v>
      </c>
      <c r="L36" s="11">
        <f>((384*Input!$C$4*$J36*Input!$C$5)/(5*$F36*100000))^(1/4)</f>
        <v>3.249152721560165</v>
      </c>
      <c r="M36" s="11">
        <f>((160*Input!$C$6*$J36)/(B36*$F36))^0.5</f>
        <v>3.9358040865804238</v>
      </c>
      <c r="N36" s="11">
        <f>((384*Input!$C$4*$J36*Input!$C$5)/(($F36*100000)))^(1/4)</f>
        <v>4.8586165621866035</v>
      </c>
      <c r="O36" s="11">
        <f>((240*Input!$C$6*$J36)/($B36*$F36))^0.5</f>
        <v>4.8203558698414319</v>
      </c>
      <c r="P36" s="11">
        <f>((185*Input!$G$4*($J36/(2.54)^4)*(Input!$G$5))/($F36*0.00571))^(1/4)*25.4/1000</f>
        <v>4.0478764072552575</v>
      </c>
      <c r="Q36" s="11">
        <f>(((16*Input!$G$6*($J36/(2.54)^4))/(($B36/25.4)*($F36*0.00571)))^0.5)*25.4/1000</f>
        <v>3.9358854970782731</v>
      </c>
      <c r="R36" s="11">
        <f>((384*Input!$G$4*($J36/(2.54)^4)*(Input!$G$5))/($F36*0.00571))^(1/4)*25.4/1000</f>
        <v>4.8586668111750058</v>
      </c>
      <c r="S36" s="11">
        <f>(((24*Input!$G$6*($J36/(2.54)^4))/(($B36/25.4)*($F36*0.00571)))^0.5)*25.4/1000</f>
        <v>4.8204555769311508</v>
      </c>
      <c r="T36" s="11">
        <f>((Input!$G$4*($J36/(2.54)^4)*(Input!$G$5))/(17.1*$F36*0.06854))^(1/4)*0.3048</f>
        <v>3.4796818046522695</v>
      </c>
      <c r="U36" s="11">
        <f>(((20*Input!$G$6*($J36/(2.54)^4))/(($B36/25.4)*($F36*0.00571)))^0.5)*25.4/1000</f>
        <v>4.4004537615612858</v>
      </c>
      <c r="V36" s="11">
        <f>((384*Input!$C$4*$J36*Input!$C$5)/(3*$F36*100000))^(1/4)</f>
        <v>3.6917502468472416</v>
      </c>
      <c r="W36" s="11">
        <f>(((200*Input!$C$6*($J36))/($B36*($F36)))^0.5)</f>
        <v>4.4003627418576476</v>
      </c>
      <c r="X36" s="11">
        <f t="shared" si="2"/>
        <v>3.249152721560165</v>
      </c>
      <c r="Y36" s="26">
        <v>4.5</v>
      </c>
      <c r="Z36" s="26">
        <v>4</v>
      </c>
      <c r="AA36" s="26">
        <v>3</v>
      </c>
      <c r="AB36" s="26">
        <v>3.7</v>
      </c>
      <c r="AC36" s="26">
        <v>4.5999999999999996</v>
      </c>
      <c r="AD36" s="32">
        <f t="shared" si="4"/>
        <v>1.1387584139853386</v>
      </c>
    </row>
    <row r="37" spans="1:30" x14ac:dyDescent="0.2">
      <c r="A37" s="5">
        <v>2</v>
      </c>
      <c r="B37" s="6">
        <v>60.32</v>
      </c>
      <c r="C37" s="10" t="s">
        <v>5</v>
      </c>
      <c r="D37" s="7">
        <v>2.77</v>
      </c>
      <c r="E37" s="8">
        <v>50</v>
      </c>
      <c r="F37" s="8">
        <f t="shared" si="0"/>
        <v>95.673018402096261</v>
      </c>
      <c r="G37" s="8">
        <f>(3.14*(B37+E37)*E37*Input!C$2/1000000)*9.81</f>
        <v>33.98231088</v>
      </c>
      <c r="H37" s="8">
        <f>((3.14*(B37-2*D37)^2)/4*Input!C$3/1000000)*9.81</f>
        <v>23.109083401140005</v>
      </c>
      <c r="I37" s="8">
        <f>(Input!C$8/1067)*'Insul+Water'!B37</f>
        <v>0.93278350515463926</v>
      </c>
      <c r="J37" s="12">
        <f t="shared" si="1"/>
        <v>20.78966420693579</v>
      </c>
      <c r="K37" s="11">
        <f>(Input!C$9*(Input!C$7+I37)*D37^2)/(0.644*F37*((B37/2)*D37)^0.5)</f>
        <v>92.137345263413891</v>
      </c>
      <c r="L37" s="11">
        <f>((384*Input!$C$4*$J37*Input!$C$5)/(5*$F37*100000))^(1/4)</f>
        <v>3.64351686640298</v>
      </c>
      <c r="M37" s="11">
        <f>((160*Input!$C$6*$J37)/(B37*$F37))^0.5</f>
        <v>4.4268803384630475</v>
      </c>
      <c r="N37" s="11">
        <f>((384*Input!$C$4*$J37*Input!$C$5)/(($F37*100000)))^(1/4)</f>
        <v>5.4483285055346569</v>
      </c>
      <c r="O37" s="11">
        <f>((240*Input!$C$6*$J37)/($B37*$F37))^0.5</f>
        <v>5.4217989907968791</v>
      </c>
      <c r="P37" s="11">
        <f>((185*Input!$G$4*($J37/(2.54)^4)*(Input!$G$5))/($F37*0.00571))^(1/4)*25.4/1000</f>
        <v>4.5391852051409103</v>
      </c>
      <c r="Q37" s="11">
        <f>(((16*Input!$G$6*($J37/(2.54)^4))/(($B37/25.4)*($F37*0.00571)))^0.5)*25.4/1000</f>
        <v>4.4269719066723257</v>
      </c>
      <c r="R37" s="11">
        <f>((384*Input!$G$4*($J37/(2.54)^4)*(Input!$G$5))/($F37*0.00571))^(1/4)*25.4/1000</f>
        <v>5.4483848534667025</v>
      </c>
      <c r="S37" s="11">
        <f>(((24*Input!$G$6*($J37/(2.54)^4))/(($B37/25.4)*($F37*0.00571)))^0.5)*25.4/1000</f>
        <v>5.4219111384915752</v>
      </c>
      <c r="T37" s="11">
        <f>((Input!$G$4*($J37/(2.54)^4)*(Input!$G$5))/(17.1*$F37*0.06854))^(1/4)*0.3048</f>
        <v>3.9020262916045074</v>
      </c>
      <c r="U37" s="11">
        <f>(((20*Input!$G$6*($J37/(2.54)^4))/(($B37/25.4)*($F37*0.00571)))^0.5)*25.4/1000</f>
        <v>4.9495050589005869</v>
      </c>
      <c r="V37" s="11">
        <f>((384*Input!$C$4*$J37*Input!$C$5)/(3*$F37*100000))^(1/4)</f>
        <v>4.1398344256580426</v>
      </c>
      <c r="W37" s="11">
        <f>(((200*Input!$C$6*($J37))/($B37*($F37)))^0.5)</f>
        <v>4.9494026825303248</v>
      </c>
      <c r="X37" s="11">
        <f t="shared" si="2"/>
        <v>3.64351686640298</v>
      </c>
      <c r="Y37" s="26">
        <v>4.5</v>
      </c>
      <c r="Z37" s="26">
        <v>4</v>
      </c>
      <c r="AA37" s="26">
        <v>3</v>
      </c>
      <c r="AB37" s="26">
        <v>3.85</v>
      </c>
      <c r="AC37" s="26">
        <v>4.9000000000000004</v>
      </c>
      <c r="AD37" s="32">
        <f t="shared" si="4"/>
        <v>1.0566713812967383</v>
      </c>
    </row>
    <row r="38" spans="1:30" x14ac:dyDescent="0.2">
      <c r="A38" s="5">
        <v>2.5</v>
      </c>
      <c r="B38" s="6">
        <v>73.02</v>
      </c>
      <c r="C38" s="10" t="s">
        <v>5</v>
      </c>
      <c r="D38" s="7">
        <v>3.05</v>
      </c>
      <c r="E38" s="8">
        <v>50</v>
      </c>
      <c r="F38" s="8">
        <f t="shared" si="0"/>
        <v>124.03057345802725</v>
      </c>
      <c r="G38" s="8">
        <f>(3.14*(B38+E38)*E38*Input!C$2/1000000)*9.81</f>
        <v>37.894342680000001</v>
      </c>
      <c r="H38" s="8">
        <f>((3.14*(B38-2*D38)^2)/4*Input!C$3/1000000)*9.81</f>
        <v>34.486611823440001</v>
      </c>
      <c r="I38" s="8">
        <f>(Input!C$8/1067)*'Insul+Water'!B38</f>
        <v>1.1291752577319587</v>
      </c>
      <c r="J38" s="12">
        <f t="shared" si="1"/>
        <v>41.123174964914639</v>
      </c>
      <c r="K38" s="11">
        <f>(Input!C$9*(Input!C$7+I38)*D38^2)/(0.644*F38*((B38/2)*D38)^0.5)</f>
        <v>74.779144377235227</v>
      </c>
      <c r="L38" s="11">
        <f>((384*Input!$C$4*$J38*Input!$C$5)/(5*$F38*100000))^(1/4)</f>
        <v>4.0494473432690716</v>
      </c>
      <c r="M38" s="11">
        <f>((160*Input!$C$6*$J38)/(B38*$F38))^0.5</f>
        <v>4.9700124707245896</v>
      </c>
      <c r="N38" s="11">
        <f>((384*Input!$C$4*$J38*Input!$C$5)/(($F38*100000)))^(1/4)</f>
        <v>6.0553361493769158</v>
      </c>
      <c r="O38" s="11">
        <f>((240*Input!$C$6*$J38)/($B38*$F38))^0.5</f>
        <v>6.0869972842721811</v>
      </c>
      <c r="P38" s="11">
        <f>((185*Input!$G$4*($J38/(2.54)^4)*(Input!$G$5))/($F38*0.00571))^(1/4)*25.4/1000</f>
        <v>5.0449036311751039</v>
      </c>
      <c r="Q38" s="11">
        <f>(((16*Input!$G$6*($J38/(2.54)^4))/(($B38/25.4)*($F38*0.00571)))^0.5)*25.4/1000</f>
        <v>4.970115273399891</v>
      </c>
      <c r="R38" s="11">
        <f>((384*Input!$G$4*($J38/(2.54)^4)*(Input!$G$5))/($F38*0.00571))^(1/4)*25.4/1000</f>
        <v>6.0553987751289293</v>
      </c>
      <c r="S38" s="11">
        <f>(((24*Input!$G$6*($J38/(2.54)^4))/(($B38/25.4)*($F38*0.00571)))^0.5)*25.4/1000</f>
        <v>6.0871231913215214</v>
      </c>
      <c r="T38" s="11">
        <f>((Input!$G$4*($J38/(2.54)^4)*(Input!$G$5))/(17.1*$F38*0.06854))^(1/4)*0.3048</f>
        <v>4.3367577478798243</v>
      </c>
      <c r="U38" s="11">
        <f>(((20*Input!$G$6*($J38/(2.54)^4))/(($B38/25.4)*($F38*0.00571)))^0.5)*25.4/1000</f>
        <v>5.556757803666053</v>
      </c>
      <c r="V38" s="11">
        <f>((384*Input!$C$4*$J38*Input!$C$5)/(3*$F38*100000))^(1/4)</f>
        <v>4.6010604949126828</v>
      </c>
      <c r="W38" s="11">
        <f>(((200*Input!$C$6*($J38))/($B38*($F38)))^0.5)</f>
        <v>5.5566428667809324</v>
      </c>
      <c r="X38" s="11">
        <f t="shared" si="2"/>
        <v>4.0494473432690716</v>
      </c>
      <c r="Y38" s="26">
        <v>5.5</v>
      </c>
      <c r="Z38" s="26">
        <v>5</v>
      </c>
      <c r="AA38" s="26">
        <v>4.5</v>
      </c>
      <c r="AB38" s="26" t="s">
        <v>6</v>
      </c>
      <c r="AC38" s="26" t="s">
        <v>6</v>
      </c>
      <c r="AD38" s="33" t="s">
        <v>6</v>
      </c>
    </row>
    <row r="39" spans="1:30" x14ac:dyDescent="0.2">
      <c r="A39" s="9">
        <v>3</v>
      </c>
      <c r="B39" s="6">
        <v>88.9</v>
      </c>
      <c r="C39" s="10" t="s">
        <v>5</v>
      </c>
      <c r="D39" s="7">
        <v>3.05</v>
      </c>
      <c r="E39" s="8">
        <v>100</v>
      </c>
      <c r="F39" s="8">
        <f t="shared" si="0"/>
        <v>232.5427683651765</v>
      </c>
      <c r="G39" s="8">
        <f>(3.14*(B39+E39)*E39*Input!C$2/1000000)*9.81</f>
        <v>116.37524520000004</v>
      </c>
      <c r="H39" s="8">
        <f>((3.14*(B39-2*D39)^2)/4*Input!C$3/1000000)*9.81</f>
        <v>52.795795464000015</v>
      </c>
      <c r="I39" s="8">
        <f>(Input!C$8/1067)*'Insul+Water'!B39</f>
        <v>1.3747422680412373</v>
      </c>
      <c r="J39" s="12">
        <f t="shared" si="1"/>
        <v>75.909355601008983</v>
      </c>
      <c r="K39" s="11">
        <f>(Input!C$9*(Input!C$7+I39)*D39^2)/(0.644*F39*((B39/2)*D39)^0.5)</f>
        <v>36.235122715772178</v>
      </c>
      <c r="L39" s="11">
        <f>((384*Input!$C$4*$J39*Input!$C$5)/(5*$F39*100000))^(1/4)</f>
        <v>4.0337074863474722</v>
      </c>
      <c r="M39" s="11">
        <f>((160*Input!$C$6*$J39)/(B39*$F39))^0.5</f>
        <v>4.4693544914850927</v>
      </c>
      <c r="N39" s="11">
        <f>((384*Input!$C$4*$J39*Input!$C$5)/(($F39*100000)))^(1/4)</f>
        <v>6.0317995735126058</v>
      </c>
      <c r="O39" s="11">
        <f>((240*Input!$C$6*$J39)/($B39*$F39))^0.5</f>
        <v>5.473818991877331</v>
      </c>
      <c r="P39" s="11">
        <f>((185*Input!$G$4*($J39/(2.54)^4)*(Input!$G$5))/($F39*0.00571))^(1/4)*25.4/1000</f>
        <v>5.0252945204479476</v>
      </c>
      <c r="Q39" s="11">
        <f>(((16*Input!$G$6*($J39/(2.54)^4))/(($B39/25.4)*($F39*0.00571)))^0.5)*25.4/1000</f>
        <v>4.4694469382548547</v>
      </c>
      <c r="R39" s="11">
        <f>((384*Input!$G$4*($J39/(2.54)^4)*(Input!$G$5))/($F39*0.00571))^(1/4)*25.4/1000</f>
        <v>6.0318619558436559</v>
      </c>
      <c r="S39" s="11">
        <f>(((24*Input!$G$6*($J39/(2.54)^4))/(($B39/25.4)*($F39*0.00571)))^0.5)*25.4/1000</f>
        <v>5.4739322155844725</v>
      </c>
      <c r="T39" s="11">
        <f>((Input!$G$4*($J39/(2.54)^4)*(Input!$G$5))/(17.1*$F39*0.06854))^(1/4)*0.3048</f>
        <v>4.3199011398864569</v>
      </c>
      <c r="U39" s="11">
        <f>(((20*Input!$G$6*($J39/(2.54)^4))/(($B39/25.4)*($F39*0.00571)))^0.5)*25.4/1000</f>
        <v>4.9969935878830798</v>
      </c>
      <c r="V39" s="11">
        <f>((384*Input!$C$4*$J39*Input!$C$5)/(3*$F39*100000))^(1/4)</f>
        <v>4.5831765646529341</v>
      </c>
      <c r="W39" s="11">
        <f>(((200*Input!$C$6*($J39))/($B39*($F39)))^0.5)</f>
        <v>4.9968902292523367</v>
      </c>
      <c r="X39" s="11">
        <f t="shared" si="2"/>
        <v>4.0337074863474722</v>
      </c>
      <c r="Y39" s="26">
        <v>6</v>
      </c>
      <c r="Z39" s="26">
        <v>5.5</v>
      </c>
      <c r="AA39" s="26">
        <v>5</v>
      </c>
      <c r="AB39" s="26">
        <v>4</v>
      </c>
      <c r="AC39" s="26">
        <v>6.2</v>
      </c>
      <c r="AD39" s="32">
        <f t="shared" ref="AD39:AD49" si="5">AB39/MIN(L39:W39)</f>
        <v>0.99164354716806835</v>
      </c>
    </row>
    <row r="40" spans="1:30" hidden="1" x14ac:dyDescent="0.2">
      <c r="A40" s="9">
        <v>4</v>
      </c>
      <c r="B40" s="6">
        <v>114.3</v>
      </c>
      <c r="C40" s="10" t="s">
        <v>5</v>
      </c>
      <c r="D40" s="7">
        <v>3.05</v>
      </c>
      <c r="E40" s="8">
        <v>100</v>
      </c>
      <c r="F40" s="8">
        <f t="shared" si="0"/>
        <v>304.3002679052625</v>
      </c>
      <c r="G40" s="8">
        <f>(3.14*(B40+E40)*E40*Input!C$2/1000000)*9.81</f>
        <v>132.02337240000003</v>
      </c>
      <c r="H40" s="8">
        <f>((3.14*(B40-2*D40)^2)/4*Input!C$3/1000000)*9.81</f>
        <v>90.155699154000004</v>
      </c>
      <c r="I40" s="8">
        <f>(Input!C$8/1067)*'Insul+Water'!B40</f>
        <v>1.7675257731958762</v>
      </c>
      <c r="J40" s="12">
        <f t="shared" si="1"/>
        <v>165.10223735776398</v>
      </c>
      <c r="K40" s="11">
        <f>(Input!C$9*(Input!C$7+I40)*D40^2)/(0.644*F40*((B40/2)*D40)^0.5)</f>
        <v>24.515313883116594</v>
      </c>
      <c r="L40" s="11">
        <f>((384*Input!$C$4*$J40*Input!$C$5)/(5*$F40*100000))^(1/4)</f>
        <v>4.5800365153309102</v>
      </c>
      <c r="M40" s="11">
        <f>((160*Input!$C$6*$J40)/(B40*$F40))^0.5</f>
        <v>5.081613692014054</v>
      </c>
      <c r="N40" s="11">
        <f>((384*Input!$C$4*$J40*Input!$C$5)/(($F40*100000)))^(1/4)</f>
        <v>6.8487520211487629</v>
      </c>
      <c r="O40" s="11">
        <f>((240*Input!$C$6*$J40)/($B40*$F40))^0.5</f>
        <v>6.2236803076874905</v>
      </c>
      <c r="P40" s="11">
        <f>((185*Input!$G$4*($J40/(2.54)^4)*(Input!$G$5))/($F40*0.00571))^(1/4)*25.4/1000</f>
        <v>5.7059250036955431</v>
      </c>
      <c r="Q40" s="11">
        <f>(((16*Input!$G$6*($J40/(2.54)^4))/(($B40/25.4)*($F40*0.00571)))^0.5)*25.4/1000</f>
        <v>5.081718803114974</v>
      </c>
      <c r="R40" s="11">
        <f>((384*Input!$G$4*($J40/(2.54)^4)*(Input!$G$5))/($F40*0.00571))^(1/4)*25.4/1000</f>
        <v>6.848822852599751</v>
      </c>
      <c r="S40" s="11">
        <f>(((24*Input!$G$6*($J40/(2.54)^4))/(($B40/25.4)*($F40*0.00571)))^0.5)*25.4/1000</f>
        <v>6.2238090419692691</v>
      </c>
      <c r="T40" s="11">
        <f>((Input!$G$4*($J40/(2.54)^4)*(Input!$G$5))/(17.1*$F40*0.06854))^(1/4)*0.3048</f>
        <v>4.9049924989021019</v>
      </c>
      <c r="U40" s="11">
        <f>(((20*Input!$G$6*($J40/(2.54)^4))/(($B40/25.4)*($F40*0.00571)))^0.5)*25.4/1000</f>
        <v>5.6815343431519771</v>
      </c>
      <c r="V40" s="11">
        <f>((384*Input!$C$4*$J40*Input!$C$5)/(3*$F40*100000))^(1/4)</f>
        <v>5.2039261878473004</v>
      </c>
      <c r="W40" s="11">
        <f>(((200*Input!$C$6*($J40))/($B40*($F40)))^0.5)</f>
        <v>5.6814168253685526</v>
      </c>
      <c r="X40" s="11">
        <f t="shared" si="2"/>
        <v>4.5800365153309102</v>
      </c>
      <c r="Y40" s="26">
        <v>6.5</v>
      </c>
      <c r="Z40" s="26">
        <v>6</v>
      </c>
      <c r="AA40" s="26">
        <v>6</v>
      </c>
      <c r="AB40" s="26">
        <v>5.0999999999999996</v>
      </c>
      <c r="AC40" s="26">
        <v>7</v>
      </c>
      <c r="AD40" s="32">
        <f t="shared" si="5"/>
        <v>1.1135282399886111</v>
      </c>
    </row>
    <row r="41" spans="1:30" hidden="1" x14ac:dyDescent="0.2">
      <c r="A41" s="9">
        <v>6</v>
      </c>
      <c r="B41" s="6">
        <v>168.27</v>
      </c>
      <c r="C41" s="10" t="s">
        <v>5</v>
      </c>
      <c r="D41" s="8">
        <v>3.4</v>
      </c>
      <c r="E41" s="8">
        <v>100</v>
      </c>
      <c r="F41" s="8">
        <f t="shared" si="0"/>
        <v>501.72098714586565</v>
      </c>
      <c r="G41" s="8">
        <f>(3.14*(B41+E41)*E41*Input!C$2/1000000)*9.81</f>
        <v>165.27256236000002</v>
      </c>
      <c r="H41" s="8">
        <f>((3.14*(B41-2*D41)^2)/4*Input!C$3/1000000)*9.81</f>
        <v>200.78088060676504</v>
      </c>
      <c r="I41" s="8">
        <f>(Input!C$8/1067)*'Insul+Water'!B41</f>
        <v>2.6021134020618559</v>
      </c>
      <c r="J41" s="12">
        <f t="shared" si="1"/>
        <v>598.84612773637616</v>
      </c>
      <c r="K41" s="11">
        <f>(Input!C$9*(Input!C$7+I41)*D41^2)/(0.644*F41*((B41/2)*D41)^0.5)</f>
        <v>14.541626972921016</v>
      </c>
      <c r="L41" s="11">
        <f>((384*Input!$C$4*$J41*Input!$C$5)/(5*$F41*100000))^(1/4)</f>
        <v>5.5778846511354923</v>
      </c>
      <c r="M41" s="11">
        <f>((160*Input!$C$6*$J41)/(B41*$F41))^0.5</f>
        <v>6.2118733312104331</v>
      </c>
      <c r="N41" s="11">
        <f>((384*Input!$C$4*$J41*Input!$C$5)/(($F41*100000)))^(1/4)</f>
        <v>8.3408830148680106</v>
      </c>
      <c r="O41" s="11">
        <f>((240*Input!$C$6*$J41)/($B41*$F41))^0.5</f>
        <v>7.6079600041341626</v>
      </c>
      <c r="P41" s="11">
        <f>((185*Input!$G$4*($J41/(2.54)^4)*(Input!$G$5))/($F41*0.00571))^(1/4)*25.4/1000</f>
        <v>6.9490693779641362</v>
      </c>
      <c r="Q41" s="11">
        <f>(((16*Input!$G$6*($J41/(2.54)^4))/(($B41/25.4)*($F41*0.00571)))^0.5)*25.4/1000</f>
        <v>6.212001821269733</v>
      </c>
      <c r="R41" s="11">
        <f>((384*Input!$G$4*($J41/(2.54)^4)*(Input!$G$5))/($F41*0.00571))^(1/4)*25.4/1000</f>
        <v>8.3409692782988678</v>
      </c>
      <c r="S41" s="11">
        <f>(((24*Input!$G$6*($J41/(2.54)^4))/(($B41/25.4)*($F41*0.00571)))^0.5)*25.4/1000</f>
        <v>7.6081173716753163</v>
      </c>
      <c r="T41" s="11">
        <f>((Input!$G$4*($J41/(2.54)^4)*(Input!$G$5))/(17.1*$F41*0.06854))^(1/4)*0.3048</f>
        <v>5.9736384812608865</v>
      </c>
      <c r="U41" s="11">
        <f>(((20*Input!$G$6*($J41/(2.54)^4))/(($B41/25.4)*($F41*0.00571)))^0.5)*25.4/1000</f>
        <v>6.9452291743558119</v>
      </c>
      <c r="V41" s="11">
        <f>((384*Input!$C$4*$J41*Input!$C$5)/(3*$F41*100000))^(1/4)</f>
        <v>6.3377005645419571</v>
      </c>
      <c r="W41" s="11">
        <f>(((200*Input!$C$6*($J41))/($B41*($F41)))^0.5)</f>
        <v>6.9450855181022968</v>
      </c>
      <c r="X41" s="11">
        <f t="shared" si="2"/>
        <v>5.5778846511354923</v>
      </c>
      <c r="Y41" s="26">
        <v>8</v>
      </c>
      <c r="Z41" s="26">
        <v>7.5</v>
      </c>
      <c r="AA41" s="26">
        <v>7.5</v>
      </c>
      <c r="AB41" s="26">
        <v>5.8</v>
      </c>
      <c r="AC41" s="26">
        <v>9.5</v>
      </c>
      <c r="AD41" s="32">
        <f t="shared" si="5"/>
        <v>1.039820713900796</v>
      </c>
    </row>
    <row r="42" spans="1:30" hidden="1" x14ac:dyDescent="0.2">
      <c r="A42" s="9">
        <v>8</v>
      </c>
      <c r="B42" s="6">
        <v>219.07</v>
      </c>
      <c r="C42" s="10" t="s">
        <v>5</v>
      </c>
      <c r="D42" s="7">
        <v>3.76</v>
      </c>
      <c r="E42" s="8">
        <v>120</v>
      </c>
      <c r="F42" s="8">
        <f t="shared" si="0"/>
        <v>791.24039143901064</v>
      </c>
      <c r="G42" s="8">
        <f>(3.14*(B42+E42)*E42*Input!C$2/1000000)*9.81</f>
        <v>250.66821211200005</v>
      </c>
      <c r="H42" s="8">
        <f>((3.14*(B42-2*D42)^2)/4*Input!C$3/1000000)*9.81</f>
        <v>344.63923964212489</v>
      </c>
      <c r="I42" s="8">
        <f>(Input!C$8/1067)*'Insul+Water'!B42</f>
        <v>3.3876804123711342</v>
      </c>
      <c r="J42" s="12">
        <f t="shared" si="1"/>
        <v>1474.8220729655541</v>
      </c>
      <c r="K42" s="11">
        <f>(Input!C$9*(Input!C$7+I42)*D42^2)/(0.644*F42*((B42/2)*D42)^0.5)</f>
        <v>9.4701005235800029</v>
      </c>
      <c r="L42" s="11">
        <f>((384*Input!$C$4*$J42*Input!$C$5)/(5*$F42*100000))^(1/4)</f>
        <v>6.2353965664668367</v>
      </c>
      <c r="M42" s="11">
        <f>((160*Input!$C$6*$J42)/(B42*$F42))^0.5</f>
        <v>6.8033620884696688</v>
      </c>
      <c r="N42" s="11">
        <f>((384*Input!$C$4*$J42*Input!$C$5)/(($F42*100000)))^(1/4)</f>
        <v>9.324092656097168</v>
      </c>
      <c r="O42" s="11">
        <f>((240*Input!$C$6*$J42)/($B42*$F42))^0.5</f>
        <v>8.3323828260731982</v>
      </c>
      <c r="P42" s="11">
        <f>((185*Input!$G$4*($J42/(2.54)^4)*(Input!$G$5))/($F42*0.00571))^(1/4)*25.4/1000</f>
        <v>7.7682143051625641</v>
      </c>
      <c r="Q42" s="11">
        <f>(((16*Input!$G$6*($J42/(2.54)^4))/(($B42/25.4)*($F42*0.00571)))^0.5)*25.4/1000</f>
        <v>6.8035028132320043</v>
      </c>
      <c r="R42" s="11">
        <f>((384*Input!$G$4*($J42/(2.54)^4)*(Input!$G$5))/($F42*0.00571))^(1/4)*25.4/1000</f>
        <v>9.3241890881201002</v>
      </c>
      <c r="S42" s="11">
        <f>(((24*Input!$G$6*($J42/(2.54)^4))/(($B42/25.4)*($F42*0.00571)))^0.5)*25.4/1000</f>
        <v>8.332555178004144</v>
      </c>
      <c r="T42" s="11">
        <f>((Input!$G$4*($J42/(2.54)^4)*(Input!$G$5))/(17.1*$F42*0.06854))^(1/4)*0.3048</f>
        <v>6.6778012104975515</v>
      </c>
      <c r="U42" s="11">
        <f>(((20*Input!$G$6*($J42/(2.54)^4))/(($B42/25.4)*($F42*0.00571)))^0.5)*25.4/1000</f>
        <v>7.6065473877489076</v>
      </c>
      <c r="V42" s="11">
        <f>((384*Input!$C$4*$J42*Input!$C$5)/(3*$F42*100000))^(1/4)</f>
        <v>7.08477833642457</v>
      </c>
      <c r="W42" s="11">
        <f>(((200*Input!$C$6*($J42))/($B42*($F42)))^0.5)</f>
        <v>7.6063900526815589</v>
      </c>
      <c r="X42" s="11">
        <f t="shared" si="2"/>
        <v>6.2353965664668367</v>
      </c>
      <c r="Y42" s="26">
        <v>9.5</v>
      </c>
      <c r="Z42" s="26">
        <v>9.5</v>
      </c>
      <c r="AA42" s="26">
        <v>8.5</v>
      </c>
      <c r="AB42" s="26">
        <v>6.7</v>
      </c>
      <c r="AC42" s="26"/>
      <c r="AD42" s="32">
        <f t="shared" si="5"/>
        <v>1.0745106471706614</v>
      </c>
    </row>
    <row r="43" spans="1:30" hidden="1" x14ac:dyDescent="0.2">
      <c r="A43" s="9">
        <v>10</v>
      </c>
      <c r="B43" s="6">
        <v>273.05</v>
      </c>
      <c r="C43" s="10" t="s">
        <v>5</v>
      </c>
      <c r="D43" s="7">
        <v>4.1900000000000004</v>
      </c>
      <c r="E43" s="8">
        <v>120</v>
      </c>
      <c r="F43" s="8">
        <f t="shared" si="0"/>
        <v>1102.6645839054077</v>
      </c>
      <c r="G43" s="8">
        <f>(3.14*(B43+E43)*E43*Input!C$2/1000000)*9.81</f>
        <v>290.57463288000002</v>
      </c>
      <c r="H43" s="8">
        <f>((3.14*(B43-2*D43)^2)/4*Input!C$3/1000000)*9.81</f>
        <v>539.44615120756509</v>
      </c>
      <c r="I43" s="8">
        <f>(Input!C$8/1067)*'Insul+Water'!B43</f>
        <v>4.2224226804123717</v>
      </c>
      <c r="J43" s="12">
        <f t="shared" si="1"/>
        <v>3199.8146914381359</v>
      </c>
      <c r="K43" s="11">
        <f>(Input!C$9*(Input!C$7+I43)*D43^2)/(0.644*F43*((B43/2)*D43)^0.5)</f>
        <v>7.2180787440292367</v>
      </c>
      <c r="L43" s="11">
        <f>((384*Input!$C$4*$J43*Input!$C$5)/(5*$F43*100000))^(1/4)</f>
        <v>6.9650884370065116</v>
      </c>
      <c r="M43" s="11">
        <f>((160*Input!$C$6*$J43)/(B43*$F43))^0.5</f>
        <v>7.6035964723265002</v>
      </c>
      <c r="N43" s="11">
        <f>((384*Input!$C$4*$J43*Input!$C$5)/(($F43*100000)))^(1/4)</f>
        <v>10.415236505375702</v>
      </c>
      <c r="O43" s="11">
        <f>((240*Input!$C$6*$J43)/($B43*$F43))^0.5</f>
        <v>9.3124657836130602</v>
      </c>
      <c r="P43" s="11">
        <f>((185*Input!$G$4*($J43/(2.54)^4)*(Input!$G$5))/($F43*0.00571))^(1/4)*25.4/1000</f>
        <v>8.6772828410069476</v>
      </c>
      <c r="Q43" s="11">
        <f>(((16*Input!$G$6*($J43/(2.54)^4))/(($B43/25.4)*($F43*0.00571)))^0.5)*25.4/1000</f>
        <v>7.6037537496097825</v>
      </c>
      <c r="R43" s="11">
        <f>((384*Input!$G$4*($J43/(2.54)^4)*(Input!$G$5))/($F43*0.00571))^(1/4)*25.4/1000</f>
        <v>10.415344222272406</v>
      </c>
      <c r="S43" s="11">
        <f>(((24*Input!$G$6*($J43/(2.54)^4))/(($B43/25.4)*($F43*0.00571)))^0.5)*25.4/1000</f>
        <v>9.3126584081591446</v>
      </c>
      <c r="T43" s="11">
        <f>((Input!$G$4*($J43/(2.54)^4)*(Input!$G$5))/(17.1*$F43*0.06854))^(1/4)*0.3048</f>
        <v>7.4592651004744992</v>
      </c>
      <c r="U43" s="11">
        <f>(((20*Input!$G$6*($J43/(2.54)^4))/(($B43/25.4)*($F43*0.00571)))^0.5)*25.4/1000</f>
        <v>8.5012551341481934</v>
      </c>
      <c r="V43" s="11">
        <f>((384*Input!$C$4*$J43*Input!$C$5)/(3*$F43*100000))^(1/4)</f>
        <v>7.9138683712856448</v>
      </c>
      <c r="W43" s="11">
        <f>(((200*Input!$C$6*($J43))/($B43*($F43)))^0.5)</f>
        <v>8.501079292799826</v>
      </c>
      <c r="X43" s="11">
        <f t="shared" si="2"/>
        <v>6.9650884370065116</v>
      </c>
      <c r="Y43" s="26">
        <v>10.5</v>
      </c>
      <c r="Z43" s="26">
        <v>10</v>
      </c>
      <c r="AA43" s="26">
        <v>9.5</v>
      </c>
      <c r="AB43" s="26">
        <v>7.5</v>
      </c>
      <c r="AC43" s="26"/>
      <c r="AD43" s="32">
        <f t="shared" si="5"/>
        <v>1.0767989621138803</v>
      </c>
    </row>
    <row r="44" spans="1:30" hidden="1" x14ac:dyDescent="0.2">
      <c r="A44" s="9">
        <v>12</v>
      </c>
      <c r="B44" s="6">
        <v>323.85000000000002</v>
      </c>
      <c r="C44" s="10" t="s">
        <v>5</v>
      </c>
      <c r="D44" s="7">
        <v>4.57</v>
      </c>
      <c r="E44" s="8">
        <v>120</v>
      </c>
      <c r="F44" s="8">
        <f t="shared" si="0"/>
        <v>1443.977763236277</v>
      </c>
      <c r="G44" s="8">
        <f>(3.14*(B44+E44)*E44*Input!C$2/1000000)*9.81</f>
        <v>328.13013816000006</v>
      </c>
      <c r="H44" s="8">
        <f>((3.14*(B44-2*D44)^2)/4*Input!C$3/1000000)*9.81</f>
        <v>762.71054359648531</v>
      </c>
      <c r="I44" s="8">
        <f>(Input!C$8/1067)*'Insul+Water'!B44</f>
        <v>5.0079896907216499</v>
      </c>
      <c r="J44" s="12">
        <f t="shared" si="1"/>
        <v>5844.496041878625</v>
      </c>
      <c r="K44" s="11">
        <f>(Input!C$9*(Input!C$7+I44)*D44^2)/(0.644*F44*((B44/2)*D44)^0.5)</f>
        <v>5.8085552086837007</v>
      </c>
      <c r="L44" s="11">
        <f>((384*Input!$C$4*$J44*Input!$C$5)/(5*$F44*100000))^(1/4)</f>
        <v>7.569251323392522</v>
      </c>
      <c r="M44" s="11">
        <f>((160*Input!$C$6*$J44)/(B44*$F44))^0.5</f>
        <v>8.2455718604363391</v>
      </c>
      <c r="N44" s="11">
        <f>((384*Input!$C$4*$J44*Input!$C$5)/(($F44*100000)))^(1/4)</f>
        <v>11.318670741192122</v>
      </c>
      <c r="O44" s="11">
        <f>((240*Input!$C$6*$J44)/($B44*$F44))^0.5</f>
        <v>10.09872184776021</v>
      </c>
      <c r="P44" s="11">
        <f>((185*Input!$G$4*($J44/(2.54)^4)*(Input!$G$5))/($F44*0.00571))^(1/4)*25.4/1000</f>
        <v>9.4299642024318047</v>
      </c>
      <c r="Q44" s="11">
        <f>(((16*Input!$G$6*($J44/(2.54)^4))/(($B44/25.4)*($F44*0.00571)))^0.5)*25.4/1000</f>
        <v>8.2457424167179667</v>
      </c>
      <c r="R44" s="11">
        <f>((384*Input!$G$4*($J44/(2.54)^4)*(Input!$G$5))/($F44*0.00571))^(1/4)*25.4/1000</f>
        <v>11.318787801624349</v>
      </c>
      <c r="S44" s="11">
        <f>(((24*Input!$G$6*($J44/(2.54)^4))/(($B44/25.4)*($F44*0.00571)))^0.5)*25.4/1000</f>
        <v>10.098930735691416</v>
      </c>
      <c r="T44" s="11">
        <f>((Input!$G$4*($J44/(2.54)^4)*(Input!$G$5))/(17.1*$F44*0.06854))^(1/4)*0.3048</f>
        <v>8.1062936592903263</v>
      </c>
      <c r="U44" s="11">
        <f>(((20*Input!$G$6*($J44/(2.54)^4))/(($B44/25.4)*($F44*0.00571)))^0.5)*25.4/1000</f>
        <v>9.2190202843673852</v>
      </c>
      <c r="V44" s="11">
        <f>((384*Input!$C$4*$J44*Input!$C$5)/(3*$F44*100000))^(1/4)</f>
        <v>8.6003299432983322</v>
      </c>
      <c r="W44" s="11">
        <f>(((200*Input!$C$6*($J44))/($B44*($F44)))^0.5)</f>
        <v>9.2188295966475309</v>
      </c>
      <c r="X44" s="11">
        <f t="shared" si="2"/>
        <v>7.569251323392522</v>
      </c>
      <c r="Y44" s="26">
        <v>11</v>
      </c>
      <c r="Z44" s="26">
        <v>11</v>
      </c>
      <c r="AA44" s="26">
        <v>10</v>
      </c>
      <c r="AB44" s="26">
        <v>8.5</v>
      </c>
      <c r="AC44" s="26"/>
      <c r="AD44" s="32">
        <f t="shared" si="5"/>
        <v>1.122964430277408</v>
      </c>
    </row>
    <row r="45" spans="1:30" hidden="1" x14ac:dyDescent="0.2">
      <c r="A45" s="9">
        <v>14</v>
      </c>
      <c r="B45" s="6">
        <v>355.6</v>
      </c>
      <c r="C45" s="10" t="s">
        <v>5</v>
      </c>
      <c r="D45" s="7">
        <v>4.78</v>
      </c>
      <c r="E45" s="8">
        <v>120</v>
      </c>
      <c r="F45" s="8">
        <f t="shared" si="0"/>
        <v>1679.5824210579308</v>
      </c>
      <c r="G45" s="8">
        <f>(3.14*(B45+E45)*E45*Input!C$2/1000000)*9.81</f>
        <v>351.60232896000002</v>
      </c>
      <c r="H45" s="8">
        <f>((3.14*(B45-2*D45)^2)/4*Input!C$3/1000000)*9.81</f>
        <v>922.12813044936013</v>
      </c>
      <c r="I45" s="8">
        <f>(Input!C$8/1067)*'Insul+Water'!B45</f>
        <v>5.4989690721649493</v>
      </c>
      <c r="J45" s="12">
        <f t="shared" si="1"/>
        <v>8109.3921922183499</v>
      </c>
      <c r="K45" s="11">
        <f>(Input!C$9*(Input!C$7+I45)*D45^2)/(0.644*F45*((B45/2)*D45)^0.5)</f>
        <v>5.1216724131941183</v>
      </c>
      <c r="L45" s="11">
        <f>((384*Input!$C$4*$J45*Input!$C$5)/(5*$F45*100000))^(1/4)</f>
        <v>7.9104835284278234</v>
      </c>
      <c r="M45" s="11">
        <f>((160*Input!$C$6*$J45)/(B45*$F45))^0.5</f>
        <v>8.5943307968418097</v>
      </c>
      <c r="N45" s="11">
        <f>((384*Input!$C$4*$J45*Input!$C$5)/(($F45*100000)))^(1/4)</f>
        <v>11.828931903105083</v>
      </c>
      <c r="O45" s="11">
        <f>((240*Input!$C$6*$J45)/($B45*$F45))^0.5</f>
        <v>10.525862566474796</v>
      </c>
      <c r="P45" s="11">
        <f>((185*Input!$G$4*($J45/(2.54)^4)*(Input!$G$5))/($F45*0.00571))^(1/4)*25.4/1000</f>
        <v>9.85507988966698</v>
      </c>
      <c r="Q45" s="11">
        <f>(((16*Input!$G$6*($J45/(2.54)^4))/(($B45/25.4)*($F45*0.00571)))^0.5)*25.4/1000</f>
        <v>8.5945085670593997</v>
      </c>
      <c r="R45" s="11">
        <f>((384*Input!$G$4*($J45/(2.54)^4)*(Input!$G$5))/($F45*0.00571))^(1/4)*25.4/1000</f>
        <v>11.829054240781751</v>
      </c>
      <c r="S45" s="11">
        <f>(((24*Input!$G$6*($J45/(2.54)^4))/(($B45/25.4)*($F45*0.00571)))^0.5)*25.4/1000</f>
        <v>10.526080289637076</v>
      </c>
      <c r="T45" s="11">
        <f>((Input!$G$4*($J45/(2.54)^4)*(Input!$G$5))/(17.1*$F45*0.06854))^(1/4)*0.3048</f>
        <v>8.4717364675472915</v>
      </c>
      <c r="U45" s="11">
        <f>(((20*Input!$G$6*($J45/(2.54)^4))/(($B45/25.4)*($F45*0.00571)))^0.5)*25.4/1000</f>
        <v>9.6089526945745636</v>
      </c>
      <c r="V45" s="11">
        <f>((384*Input!$C$4*$J45*Input!$C$5)/(3*$F45*100000))^(1/4)</f>
        <v>8.9880445831218498</v>
      </c>
      <c r="W45" s="11">
        <f>(((200*Input!$C$6*($J45))/($B45*($F45)))^0.5)</f>
        <v>9.6087539414291108</v>
      </c>
      <c r="X45" s="11">
        <f t="shared" si="2"/>
        <v>7.9104835284278234</v>
      </c>
      <c r="Y45" s="26">
        <v>11.5</v>
      </c>
      <c r="Z45" s="26">
        <v>11</v>
      </c>
      <c r="AA45" s="26">
        <v>11</v>
      </c>
      <c r="AB45" s="26">
        <v>9.1999999999999993</v>
      </c>
      <c r="AC45" s="26"/>
      <c r="AD45" s="32">
        <f t="shared" si="5"/>
        <v>1.1630136093372869</v>
      </c>
    </row>
    <row r="46" spans="1:30" hidden="1" x14ac:dyDescent="0.2">
      <c r="A46" s="9">
        <v>16</v>
      </c>
      <c r="B46" s="6">
        <v>406.4</v>
      </c>
      <c r="C46" s="10" t="s">
        <v>5</v>
      </c>
      <c r="D46" s="7">
        <v>4.78</v>
      </c>
      <c r="E46" s="8">
        <v>120</v>
      </c>
      <c r="F46" s="8">
        <f t="shared" si="0"/>
        <v>2066.5237710225019</v>
      </c>
      <c r="G46" s="8">
        <f>(3.14*(B46+E46)*E46*Input!C$2/1000000)*9.81</f>
        <v>389.15783424000006</v>
      </c>
      <c r="H46" s="8">
        <f>((3.14*(B46-2*D46)^2)/4*Input!C$3/1000000)*9.81</f>
        <v>1212.74514880776</v>
      </c>
      <c r="I46" s="8">
        <f>(Input!C$8/1067)*'Insul+Water'!B46</f>
        <v>6.2845360824742267</v>
      </c>
      <c r="J46" s="12">
        <f t="shared" si="1"/>
        <v>12166.402054575447</v>
      </c>
      <c r="K46" s="11">
        <f>(Input!C$9*(Input!C$7+I46)*D46^2)/(0.644*F46*((B46/2)*D46)^0.5)</f>
        <v>3.9228220194656802</v>
      </c>
      <c r="L46" s="11">
        <f>((384*Input!$C$4*$J46*Input!$C$5)/(5*$F46*100000))^(1/4)</f>
        <v>8.3125969644438307</v>
      </c>
      <c r="M46" s="11">
        <f>((160*Input!$C$6*$J46)/(B46*$F46))^0.5</f>
        <v>8.8773527977180233</v>
      </c>
      <c r="N46" s="11">
        <f>((384*Input!$C$4*$J46*Input!$C$5)/(($F46*100000)))^(1/4)</f>
        <v>12.430231739564297</v>
      </c>
      <c r="O46" s="11">
        <f>((240*Input!$C$6*$J46)/($B46*$F46))^0.5</f>
        <v>10.872492310538924</v>
      </c>
      <c r="P46" s="11">
        <f>((185*Input!$G$4*($J46/(2.54)^4)*(Input!$G$5))/($F46*0.00571))^(1/4)*25.4/1000</f>
        <v>10.356042949940713</v>
      </c>
      <c r="Q46" s="11">
        <f>(((16*Input!$G$6*($J46/(2.54)^4))/(($B46/25.4)*($F46*0.00571)))^0.5)*25.4/1000</f>
        <v>8.877536422129948</v>
      </c>
      <c r="R46" s="11">
        <f>((384*Input!$G$4*($J46/(2.54)^4)*(Input!$G$5))/($F46*0.00571))^(1/4)*25.4/1000</f>
        <v>12.430360296029393</v>
      </c>
      <c r="S46" s="11">
        <f>(((24*Input!$G$6*($J46/(2.54)^4))/(($B46/25.4)*($F46*0.00571)))^0.5)*25.4/1000</f>
        <v>10.872717203595689</v>
      </c>
      <c r="T46" s="11">
        <f>((Input!$G$4*($J46/(2.54)^4)*(Input!$G$5))/(17.1*$F46*0.06854))^(1/4)*0.3048</f>
        <v>8.9023800619300228</v>
      </c>
      <c r="U46" s="11">
        <f>(((20*Input!$G$6*($J46/(2.54)^4))/(($B46/25.4)*($F46*0.00571)))^0.5)*25.4/1000</f>
        <v>9.9253874563064173</v>
      </c>
      <c r="V46" s="11">
        <f>((384*Input!$C$4*$J46*Input!$C$5)/(3*$F46*100000))^(1/4)</f>
        <v>9.4449336566400266</v>
      </c>
      <c r="W46" s="11">
        <f>(((200*Input!$C$6*($J46))/($B46*($F46)))^0.5)</f>
        <v>9.9251821579727189</v>
      </c>
      <c r="X46" s="11">
        <f t="shared" si="2"/>
        <v>8.3125969644438307</v>
      </c>
      <c r="Y46" s="26">
        <v>12</v>
      </c>
      <c r="Z46" s="26">
        <v>11.5</v>
      </c>
      <c r="AA46" s="26">
        <v>11.5</v>
      </c>
      <c r="AB46" s="26">
        <v>9.5</v>
      </c>
      <c r="AC46" s="26"/>
      <c r="AD46" s="32">
        <f t="shared" si="5"/>
        <v>1.1428438117035082</v>
      </c>
    </row>
    <row r="47" spans="1:30" hidden="1" x14ac:dyDescent="0.2">
      <c r="A47" s="9">
        <v>18</v>
      </c>
      <c r="B47" s="6">
        <v>457.2</v>
      </c>
      <c r="C47" s="10" t="s">
        <v>5</v>
      </c>
      <c r="D47" s="7">
        <v>4.78</v>
      </c>
      <c r="E47" s="8">
        <v>120</v>
      </c>
      <c r="F47" s="8">
        <f t="shared" si="0"/>
        <v>2493.2113640750736</v>
      </c>
      <c r="G47" s="8">
        <f>(3.14*(B47+E47)*E47*Input!C$2/1000000)*9.81</f>
        <v>426.71333952000003</v>
      </c>
      <c r="H47" s="8">
        <f>((3.14*(B47-2*D47)^2)/4*Input!C$3/1000000)*9.81</f>
        <v>1543.1084102541602</v>
      </c>
      <c r="I47" s="8">
        <f>(Input!C$8/1067)*'Insul+Water'!B47</f>
        <v>7.0701030927835049</v>
      </c>
      <c r="J47" s="12">
        <f t="shared" si="1"/>
        <v>17391.158649707962</v>
      </c>
      <c r="K47" s="11">
        <f>(Input!C$9*(Input!C$7+I47)*D47^2)/(0.644*F47*((B47/2)*D47)^0.5)</f>
        <v>3.0881741997730234</v>
      </c>
      <c r="L47" s="11">
        <f>((384*Input!$C$4*$J47*Input!$C$5)/(5*$F47*100000))^(1/4)</f>
        <v>8.6725864837212274</v>
      </c>
      <c r="M47" s="11">
        <f>((160*Input!$C$6*$J47)/(B47*$F47))^0.5</f>
        <v>9.1102658105270784</v>
      </c>
      <c r="N47" s="11">
        <f>((384*Input!$C$4*$J47*Input!$C$5)/(($F47*100000)))^(1/4)</f>
        <v>12.96854162846817</v>
      </c>
      <c r="O47" s="11">
        <f>((240*Input!$C$6*$J47)/($B47*$F47))^0.5</f>
        <v>11.157751328457177</v>
      </c>
      <c r="P47" s="11">
        <f>((185*Input!$G$4*($J47/(2.54)^4)*(Input!$G$5))/($F47*0.00571))^(1/4)*25.4/1000</f>
        <v>10.804526972336078</v>
      </c>
      <c r="Q47" s="11">
        <f>(((16*Input!$G$6*($J47/(2.54)^4))/(($B47/25.4)*($F47*0.00571)))^0.5)*25.4/1000</f>
        <v>9.1104542526494168</v>
      </c>
      <c r="R47" s="11">
        <f>((384*Input!$G$4*($J47/(2.54)^4)*(Input!$G$5))/($F47*0.00571))^(1/4)*25.4/1000</f>
        <v>12.968675752264435</v>
      </c>
      <c r="S47" s="11">
        <f>(((24*Input!$G$6*($J47/(2.54)^4))/(($B47/25.4)*($F47*0.00571)))^0.5)*25.4/1000</f>
        <v>11.157982121980067</v>
      </c>
      <c r="T47" s="11">
        <f>((Input!$G$4*($J47/(2.54)^4)*(Input!$G$5))/(17.1*$F47*0.06854))^(1/4)*0.3048</f>
        <v>9.287911025674191</v>
      </c>
      <c r="U47" s="11">
        <f>(((20*Input!$G$6*($J47/(2.54)^4))/(($B47/25.4)*($F47*0.00571)))^0.5)*25.4/1000</f>
        <v>10.185797507413071</v>
      </c>
      <c r="V47" s="11">
        <f>((384*Input!$C$4*$J47*Input!$C$5)/(3*$F47*100000))^(1/4)</f>
        <v>9.8539607201683346</v>
      </c>
      <c r="W47" s="11">
        <f>(((200*Input!$C$6*($J47))/($B47*($F47)))^0.5)</f>
        <v>10.185586822715385</v>
      </c>
      <c r="X47" s="11">
        <f t="shared" si="2"/>
        <v>8.6725864837212274</v>
      </c>
      <c r="Y47" s="26">
        <v>12.5</v>
      </c>
      <c r="Z47" s="26">
        <v>12.5</v>
      </c>
      <c r="AA47" s="26">
        <v>11.5</v>
      </c>
      <c r="AB47" s="26">
        <v>9.8000000000000007</v>
      </c>
      <c r="AC47" s="26"/>
      <c r="AD47" s="32">
        <f t="shared" si="5"/>
        <v>1.1299973794893796</v>
      </c>
    </row>
    <row r="48" spans="1:30" hidden="1" x14ac:dyDescent="0.2">
      <c r="A48" s="9">
        <v>20</v>
      </c>
      <c r="B48" s="6">
        <v>508</v>
      </c>
      <c r="C48" s="10" t="s">
        <v>5</v>
      </c>
      <c r="D48" s="7">
        <v>5.54</v>
      </c>
      <c r="E48" s="8">
        <v>140</v>
      </c>
      <c r="F48" s="8">
        <f t="shared" si="0"/>
        <v>3134.1640110708304</v>
      </c>
      <c r="G48" s="8">
        <f>(3.14*(B48+E48)*E48*Input!C$2/1000000)*9.81</f>
        <v>558.89688960000001</v>
      </c>
      <c r="H48" s="8">
        <f>((3.14*(B48-2*D48)^2)/4*Input!C$3/1000000)*9.81</f>
        <v>1901.5669353434403</v>
      </c>
      <c r="I48" s="8">
        <f>(Input!C$8/1067)*'Insul+Water'!B48</f>
        <v>7.855670103092784</v>
      </c>
      <c r="J48" s="12">
        <f t="shared" si="1"/>
        <v>27611.741380886502</v>
      </c>
      <c r="K48" s="11">
        <f>(Input!C$9*(Input!C$7+I48)*D48^2)/(0.644*F48*((B48/2)*D48)^0.5)</f>
        <v>2.9292604380744534</v>
      </c>
      <c r="L48" s="11">
        <f>((384*Input!$C$4*$J48*Input!$C$5)/(5*$F48*100000))^(1/4)</f>
        <v>9.1938900131090318</v>
      </c>
      <c r="M48" s="11">
        <f>((160*Input!$C$6*$J48)/(B48*$F48))^0.5</f>
        <v>9.7130054521724194</v>
      </c>
      <c r="N48" s="11">
        <f>((384*Input!$C$4*$J48*Input!$C$5)/(($F48*100000)))^(1/4)</f>
        <v>13.748072225784538</v>
      </c>
      <c r="O48" s="11">
        <f>((240*Input!$C$6*$J48)/($B48*$F48))^0.5</f>
        <v>11.895953613346713</v>
      </c>
      <c r="P48" s="11">
        <f>((185*Input!$G$4*($J48/(2.54)^4)*(Input!$G$5))/($F48*0.00571))^(1/4)*25.4/1000</f>
        <v>11.45398005702042</v>
      </c>
      <c r="Q48" s="11">
        <f>(((16*Input!$G$6*($J48/(2.54)^4))/(($B48/25.4)*($F48*0.00571)))^0.5)*25.4/1000</f>
        <v>9.7132063617177344</v>
      </c>
      <c r="R48" s="11">
        <f>((384*Input!$G$4*($J48/(2.54)^4)*(Input!$G$5))/($F48*0.00571))^(1/4)*25.4/1000</f>
        <v>13.748214411674907</v>
      </c>
      <c r="S48" s="11">
        <f>(((24*Input!$G$6*($J48/(2.54)^4))/(($B48/25.4)*($F48*0.00571)))^0.5)*25.4/1000</f>
        <v>11.896199676281949</v>
      </c>
      <c r="T48" s="11">
        <f>((Input!$G$4*($J48/(2.54)^4)*(Input!$G$5))/(17.1*$F48*0.06854))^(1/4)*0.3048</f>
        <v>9.8462013128234904</v>
      </c>
      <c r="U48" s="11">
        <f>(((20*Input!$G$6*($J48/(2.54)^4))/(($B48/25.4)*($F48*0.00571)))^0.5)*25.4/1000</f>
        <v>10.85969485214213</v>
      </c>
      <c r="V48" s="11">
        <f>((384*Input!$C$4*$J48*Input!$C$5)/(3*$F48*100000))^(1/4)</f>
        <v>10.446275886066612</v>
      </c>
      <c r="W48" s="11">
        <f>(((200*Input!$C$6*($J48))/($B48*($F48)))^0.5)</f>
        <v>10.859470228441806</v>
      </c>
      <c r="X48" s="11">
        <f t="shared" si="2"/>
        <v>9.1938900131090318</v>
      </c>
      <c r="Y48" s="26">
        <v>13</v>
      </c>
      <c r="Z48" s="26">
        <v>13</v>
      </c>
      <c r="AA48" s="26">
        <v>12</v>
      </c>
      <c r="AB48" s="26">
        <v>9.9</v>
      </c>
      <c r="AC48" s="26"/>
      <c r="AD48" s="32">
        <f t="shared" si="5"/>
        <v>1.0768020920289636</v>
      </c>
    </row>
    <row r="49" spans="1:30" hidden="1" x14ac:dyDescent="0.2">
      <c r="A49" s="9">
        <v>24</v>
      </c>
      <c r="B49" s="6">
        <v>609.6</v>
      </c>
      <c r="C49" s="10" t="s">
        <v>5</v>
      </c>
      <c r="D49" s="7">
        <v>6.35</v>
      </c>
      <c r="E49" s="8">
        <v>140</v>
      </c>
      <c r="F49" s="8">
        <f t="shared" si="0"/>
        <v>4317.3589961675507</v>
      </c>
      <c r="G49" s="8">
        <f>(3.14*(B49+E49)*E49*Input!C$2/1000000)*9.81</f>
        <v>646.52640192000013</v>
      </c>
      <c r="H49" s="8">
        <f>((3.14*(B49-2*D49)^2)/4*Input!C$3/1000000)*9.81</f>
        <v>2743.7328431685005</v>
      </c>
      <c r="I49" s="8">
        <f>(Input!C$8/1067)*'Insul+Water'!B49</f>
        <v>9.4268041237113405</v>
      </c>
      <c r="J49" s="12">
        <f t="shared" si="1"/>
        <v>54769.729135176691</v>
      </c>
      <c r="K49" s="11">
        <f>(Input!C$9*(Input!C$7+I49)*D49^2)/(0.644*F49*((B49/2)*D49)^0.5)</f>
        <v>2.4168383019109325</v>
      </c>
      <c r="L49" s="11">
        <f>((384*Input!$C$4*$J49*Input!$C$5)/(5*$F49*100000))^(1/4)</f>
        <v>10.071331525719637</v>
      </c>
      <c r="M49" s="11">
        <f>((160*Input!$C$6*$J49)/(B49*$F49))^0.5</f>
        <v>10.639915673589559</v>
      </c>
      <c r="N49" s="11">
        <f>((384*Input!$C$4*$J49*Input!$C$5)/(($F49*100000)))^(1/4)</f>
        <v>15.060153322259714</v>
      </c>
      <c r="O49" s="11">
        <f>((240*Input!$C$6*$J49)/($B49*$F49))^0.5</f>
        <v>13.031182153267796</v>
      </c>
      <c r="P49" s="11">
        <f>((185*Input!$G$4*($J49/(2.54)^4)*(Input!$G$5))/($F49*0.00571))^(1/4)*25.4/1000</f>
        <v>12.547118823343901</v>
      </c>
      <c r="Q49" s="11">
        <f>(((16*Input!$G$6*($J49/(2.54)^4))/(($B49/25.4)*($F49*0.00571)))^0.5)*25.4/1000</f>
        <v>10.640135755893711</v>
      </c>
      <c r="R49" s="11">
        <f>((384*Input!$G$4*($J49/(2.54)^4)*(Input!$G$5))/($F49*0.00571))^(1/4)*25.4/1000</f>
        <v>15.060309078010336</v>
      </c>
      <c r="S49" s="11">
        <f>(((24*Input!$G$6*($J49/(2.54)^4))/(($B49/25.4)*($F49*0.00571)))^0.5)*25.4/1000</f>
        <v>13.031451697941094</v>
      </c>
      <c r="T49" s="11">
        <f>((Input!$G$4*($J49/(2.54)^4)*(Input!$G$5))/(17.1*$F49*0.06854))^(1/4)*0.3048</f>
        <v>10.78589775916708</v>
      </c>
      <c r="U49" s="11">
        <f>(((20*Input!$G$6*($J49/(2.54)^4))/(($B49/25.4)*($F49*0.00571)))^0.5)*25.4/1000</f>
        <v>11.896033420002224</v>
      </c>
      <c r="V49" s="11">
        <f>((384*Input!$C$4*$J49*Input!$C$5)/(3*$F49*100000))^(1/4)</f>
        <v>11.44324192563732</v>
      </c>
      <c r="W49" s="11">
        <f>(((200*Input!$C$6*($J49))/($B49*($F49)))^0.5)</f>
        <v>11.895787360505858</v>
      </c>
      <c r="X49" s="11">
        <f t="shared" si="2"/>
        <v>10.071331525719637</v>
      </c>
      <c r="Y49" s="26">
        <v>14</v>
      </c>
      <c r="Z49" s="26">
        <v>13.5</v>
      </c>
      <c r="AA49" s="26">
        <v>12.5</v>
      </c>
      <c r="AB49" s="26">
        <v>11.5</v>
      </c>
      <c r="AC49" s="26"/>
      <c r="AD49" s="32">
        <f t="shared" si="5"/>
        <v>1.1418549742535933</v>
      </c>
    </row>
  </sheetData>
  <sheetProtection algorithmName="SHA-512" hashValue="d++Nw/koLCYFp83bAqsT10jE9P+Xgh3BMtwGgExumk6NxoMpuf8oCR5lz+SkGhrjh9xnkVs/5C/iye537Inx9A==" saltValue="Fc1nwFhSYQaltEQ777L8Ng==" spinCount="100000" sheet="1" objects="1" scenarios="1" autoFilter="0"/>
  <autoFilter ref="A2:AD49" xr:uid="{00000000-0009-0000-0000-000004000000}">
    <filterColumn colId="0">
      <filters>
        <filter val="10"/>
        <filter val="12"/>
        <filter val="14"/>
        <filter val="16"/>
        <filter val="18"/>
        <filter val="2"/>
        <filter val="2 1/2"/>
        <filter val="20"/>
        <filter val="24"/>
        <filter val="3"/>
        <filter val="4"/>
        <filter val="6"/>
        <filter val="8"/>
      </filters>
    </filterColumn>
    <filterColumn colId="23">
      <filters>
        <filter val="3.6"/>
        <filter val="3.8"/>
        <filter val="3.9"/>
        <filter val="4.0"/>
        <filter val="4.3"/>
      </filters>
    </filterColumn>
    <filterColumn colId="27" showButton="0"/>
  </autoFilter>
  <mergeCells count="7">
    <mergeCell ref="Y1:AA1"/>
    <mergeCell ref="V1:W1"/>
    <mergeCell ref="L1:M1"/>
    <mergeCell ref="N1:O1"/>
    <mergeCell ref="P1:Q1"/>
    <mergeCell ref="R1:S1"/>
    <mergeCell ref="T1:U1"/>
  </mergeCells>
  <conditionalFormatting sqref="Y3:AC3">
    <cfRule type="expression" dxfId="3" priority="2">
      <formula>Y3=MIN($Y3:$AC3)</formula>
    </cfRule>
  </conditionalFormatting>
  <conditionalFormatting sqref="Y4:AC49">
    <cfRule type="expression" dxfId="2" priority="1">
      <formula>Y4=MIN($Y4:$AC4)</formula>
    </cfRule>
  </conditionalFormatting>
  <conditionalFormatting sqref="L3:W49">
    <cfRule type="expression" dxfId="1" priority="3">
      <formula>L3=MAX($L3:$W3)</formula>
    </cfRule>
  </conditionalFormatting>
  <conditionalFormatting sqref="L3:W49">
    <cfRule type="expression" dxfId="0" priority="4">
      <formula>L3=MIN($L3:$W3)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5"/>
  <sheetViews>
    <sheetView workbookViewId="0">
      <pane ySplit="3" topLeftCell="A4" activePane="bottomLeft" state="frozen"/>
      <selection pane="bottomLeft" activeCell="F12" sqref="F12"/>
    </sheetView>
  </sheetViews>
  <sheetFormatPr defaultRowHeight="12.75" x14ac:dyDescent="0.2"/>
  <cols>
    <col min="1" max="1" width="11" style="28" customWidth="1"/>
    <col min="2" max="5" width="12.85546875" style="28" customWidth="1"/>
    <col min="6" max="6" width="10.28515625" style="28" customWidth="1"/>
    <col min="7" max="7" width="13.28515625" style="28" bestFit="1" customWidth="1"/>
    <col min="8" max="8" width="9.42578125" style="28" customWidth="1"/>
    <col min="9" max="9" width="13.28515625" style="28" bestFit="1" customWidth="1"/>
    <col min="10" max="10" width="16.140625" customWidth="1"/>
    <col min="11" max="11" width="21" customWidth="1"/>
    <col min="12" max="12" width="16.140625" customWidth="1"/>
    <col min="13" max="13" width="17.28515625" customWidth="1"/>
    <col min="14" max="14" width="15.5703125" customWidth="1"/>
    <col min="15" max="15" width="20.85546875" customWidth="1"/>
    <col min="16" max="16" width="18.5703125" customWidth="1"/>
    <col min="17" max="17" width="13.28515625" bestFit="1" customWidth="1"/>
  </cols>
  <sheetData>
    <row r="1" spans="1:17" ht="24" customHeight="1" thickBot="1" x14ac:dyDescent="0.25">
      <c r="A1" s="34"/>
      <c r="B1" s="158" t="s">
        <v>66</v>
      </c>
      <c r="C1" s="160"/>
      <c r="D1" s="160"/>
      <c r="E1" s="159"/>
      <c r="J1" s="161" t="s">
        <v>73</v>
      </c>
      <c r="K1" s="162"/>
      <c r="L1" s="162"/>
      <c r="M1" s="163"/>
      <c r="N1" s="155" t="s">
        <v>74</v>
      </c>
      <c r="O1" s="156"/>
      <c r="P1" s="156"/>
      <c r="Q1" s="157"/>
    </row>
    <row r="2" spans="1:17" ht="24" customHeight="1" thickBot="1" x14ac:dyDescent="0.25">
      <c r="A2" s="35" t="s">
        <v>65</v>
      </c>
      <c r="B2" s="158" t="s">
        <v>67</v>
      </c>
      <c r="C2" s="159"/>
      <c r="D2" s="158" t="s">
        <v>68</v>
      </c>
      <c r="E2" s="159"/>
      <c r="F2" s="158" t="s">
        <v>67</v>
      </c>
      <c r="G2" s="159"/>
      <c r="H2" s="158" t="s">
        <v>68</v>
      </c>
      <c r="I2" s="159"/>
      <c r="J2" s="158" t="s">
        <v>67</v>
      </c>
      <c r="K2" s="159"/>
      <c r="L2" s="158" t="s">
        <v>68</v>
      </c>
      <c r="M2" s="159"/>
      <c r="N2" s="158" t="s">
        <v>67</v>
      </c>
      <c r="O2" s="159"/>
      <c r="P2" s="158" t="s">
        <v>68</v>
      </c>
      <c r="Q2" s="159"/>
    </row>
    <row r="3" spans="1:17" ht="24" customHeight="1" thickBot="1" x14ac:dyDescent="0.25">
      <c r="A3" s="36"/>
      <c r="B3" s="37" t="s">
        <v>69</v>
      </c>
      <c r="C3" s="38" t="s">
        <v>70</v>
      </c>
      <c r="D3" s="37" t="s">
        <v>69</v>
      </c>
      <c r="E3" s="37" t="s">
        <v>70</v>
      </c>
      <c r="F3" s="45" t="s">
        <v>69</v>
      </c>
      <c r="G3" s="45" t="s">
        <v>70</v>
      </c>
      <c r="H3" s="45" t="s">
        <v>69</v>
      </c>
      <c r="I3" s="45" t="s">
        <v>70</v>
      </c>
      <c r="J3" s="45" t="s">
        <v>69</v>
      </c>
      <c r="K3" s="45" t="s">
        <v>70</v>
      </c>
      <c r="L3" s="45" t="s">
        <v>69</v>
      </c>
      <c r="M3" s="45" t="s">
        <v>70</v>
      </c>
      <c r="N3" s="45" t="s">
        <v>69</v>
      </c>
      <c r="O3" s="45" t="s">
        <v>70</v>
      </c>
      <c r="P3" s="45" t="s">
        <v>69</v>
      </c>
      <c r="Q3" s="45" t="s">
        <v>70</v>
      </c>
    </row>
    <row r="4" spans="1:17" ht="19.149999999999999" customHeight="1" thickBot="1" x14ac:dyDescent="0.25">
      <c r="A4" s="39">
        <v>1</v>
      </c>
      <c r="B4" s="40">
        <v>3800</v>
      </c>
      <c r="C4" s="40">
        <v>3300</v>
      </c>
      <c r="D4" s="40">
        <v>3650</v>
      </c>
      <c r="E4" s="40">
        <v>3200</v>
      </c>
      <c r="F4" s="46">
        <v>5700</v>
      </c>
      <c r="G4" s="46">
        <v>5200</v>
      </c>
      <c r="H4" s="46">
        <v>5500</v>
      </c>
      <c r="I4" s="46">
        <v>5000</v>
      </c>
      <c r="J4" s="48">
        <f>MIN(VLOOKUP(A4,'Bare+Vapour'!$A$1:$S$18,19,0),VLOOKUP(A4,'Bare+Vapour'!$A$1:$S$18,18,0))*1000</f>
        <v>4950.7293081154221</v>
      </c>
      <c r="K4" s="48">
        <f>MIN(VLOOKUP(A4,'Insul+Vapour'!$A$1:$S$18,19,0),VLOOKUP(A4,'Insul+Vapour'!$A$1:$S$18,18,0))*1000</f>
        <v>4312.6815683036184</v>
      </c>
      <c r="L4" s="48">
        <f>MIN(VLOOKUP(A4,'Bare+Water'!$A$1:$S$18,19,0),VLOOKUP(A4,'Bare+Water'!$A$1:$S$18,18,0))*1000</f>
        <v>4708.1758271023073</v>
      </c>
      <c r="M4" s="48">
        <f>MIN(VLOOKUP(A4,'Insul+Water'!$A$1:$S$18,19,0),VLOOKUP(A4,'Insul+Water'!$A$1:$S$18,18,0))*1000</f>
        <v>4184.6115953465323</v>
      </c>
      <c r="N4" s="48">
        <f>MIN(VLOOKUP(A4,'Bare+Vapour'!$A$1:$S$18,17,0),VLOOKUP(A4,'Bare+Vapour'!$A$1:$S$18,16,0))*1000</f>
        <v>4124.5759678221602</v>
      </c>
      <c r="O4" s="48">
        <f>MIN(VLOOKUP(A4,'Insul+Vapour'!$A$1:$S$18,17,0),VLOOKUP(A4,'Insul+Vapour'!$A$1:$S$18,16,0))*1000</f>
        <v>3593.0024944680281</v>
      </c>
      <c r="P4" s="48">
        <f>MIN(VLOOKUP(A4,'Bare+Water'!$A$1:$S$18,17,0),VLOOKUP(A4,'Bare+Water'!$A$1:$S$18,16,0))*1000</f>
        <v>3922.4986179136604</v>
      </c>
      <c r="Q4" s="48">
        <f>MIN(VLOOKUP(A4,'Insul+Water'!$A$1:$S$18,17,0),VLOOKUP(A4,'Insul+Water'!$A$1:$S$18,16,0))*1000</f>
        <v>3486.3042082594625</v>
      </c>
    </row>
    <row r="5" spans="1:17" ht="19.149999999999999" customHeight="1" thickBot="1" x14ac:dyDescent="0.25">
      <c r="A5" s="39">
        <v>1.5</v>
      </c>
      <c r="B5" s="40">
        <v>4650</v>
      </c>
      <c r="C5" s="40">
        <v>3900</v>
      </c>
      <c r="D5" s="40">
        <v>4350</v>
      </c>
      <c r="E5" s="40">
        <v>3750</v>
      </c>
      <c r="F5" s="46">
        <v>6900</v>
      </c>
      <c r="G5" s="46">
        <v>6300</v>
      </c>
      <c r="H5" s="46">
        <v>6600</v>
      </c>
      <c r="I5" s="46">
        <v>6100</v>
      </c>
      <c r="J5" s="48">
        <f>MIN(VLOOKUP(A5,'Bare+Vapour'!$A$1:$S$18,19,0),VLOOKUP(A5,'Bare+Vapour'!$A$1:$S$18,18,0))*1000</f>
        <v>6024.2568562372726</v>
      </c>
      <c r="K5" s="48">
        <f>MIN(VLOOKUP(A5,'Insul+Vapour'!$A$1:$S$18,19,0),VLOOKUP(A5,'Insul+Vapour'!$A$1:$S$18,18,0))*1000</f>
        <v>5228.5690689426083</v>
      </c>
      <c r="L5" s="48">
        <f>MIN(VLOOKUP(A5,'Bare+Water'!$A$1:$S$18,19,0),VLOOKUP(A5,'Bare+Water'!$A$1:$S$18,18,0))*1000</f>
        <v>5615.5841977522077</v>
      </c>
      <c r="M5" s="48">
        <f>MIN(VLOOKUP(A5,'Insul+Water'!$A$1:$S$18,19,0),VLOOKUP(A5,'Insul+Water'!$A$1:$S$18,18,0))*1000</f>
        <v>5012.2824190671618</v>
      </c>
      <c r="N5" s="48">
        <f>MIN(VLOOKUP(A5,'Bare+Vapour'!$A$1:$S$18,17,0),VLOOKUP(A5,'Bare+Vapour'!$A$1:$S$18,16,0))*1000</f>
        <v>5018.9585224328785</v>
      </c>
      <c r="O5" s="48">
        <f>MIN(VLOOKUP(A5,'Insul+Vapour'!$A$1:$S$18,17,0),VLOOKUP(A5,'Insul+Vapour'!$A$1:$S$18,16,0))*1000</f>
        <v>4356.0511968424071</v>
      </c>
      <c r="P5" s="48">
        <f>MIN(VLOOKUP(A5,'Bare+Water'!$A$1:$S$18,17,0),VLOOKUP(A5,'Bare+Water'!$A$1:$S$18,16,0))*1000</f>
        <v>4678.4831457786986</v>
      </c>
      <c r="Q5" s="48">
        <f>MIN(VLOOKUP(A5,'Insul+Water'!$A$1:$S$18,17,0),VLOOKUP(A5,'Insul+Water'!$A$1:$S$18,16,0))*1000</f>
        <v>4175.8573985721841</v>
      </c>
    </row>
    <row r="6" spans="1:17" ht="19.149999999999999" customHeight="1" thickBot="1" x14ac:dyDescent="0.25">
      <c r="A6" s="39">
        <v>2</v>
      </c>
      <c r="B6" s="40">
        <v>5250</v>
      </c>
      <c r="C6" s="40">
        <v>4250</v>
      </c>
      <c r="D6" s="40">
        <v>4850</v>
      </c>
      <c r="E6" s="40">
        <v>4000</v>
      </c>
      <c r="F6" s="46">
        <v>7900</v>
      </c>
      <c r="G6" s="46">
        <v>7100</v>
      </c>
      <c r="H6" s="46">
        <v>7100</v>
      </c>
      <c r="I6" s="46">
        <v>6600</v>
      </c>
      <c r="J6" s="48">
        <f>MIN(VLOOKUP(A6,'Bare+Vapour'!$A$1:$S$18,19,0),VLOOKUP(A6,'Bare+Vapour'!$A$1:$S$18,18,0))*1000</f>
        <v>6773.2101247453711</v>
      </c>
      <c r="K6" s="48">
        <f>MIN(VLOOKUP(A6,'Insul+Vapour'!$A$1:$S$18,19,0),VLOOKUP(A6,'Insul+Vapour'!$A$1:$S$18,18,0))*1000</f>
        <v>5988.3766162873872</v>
      </c>
      <c r="L6" s="48">
        <f>MIN(VLOOKUP(A6,'Bare+Water'!$A$1:$S$18,19,0),VLOOKUP(A6,'Bare+Water'!$A$1:$S$18,18,0))*1000</f>
        <v>6229.4143134716423</v>
      </c>
      <c r="M6" s="48">
        <f>MIN(VLOOKUP(A6,'Insul+Water'!$A$1:$S$18,19,0),VLOOKUP(A6,'Insul+Water'!$A$1:$S$18,18,0))*1000</f>
        <v>5671.4640873421704</v>
      </c>
      <c r="N6" s="48">
        <f>MIN(VLOOKUP(A6,'Bare+Vapour'!$A$1:$S$18,17,0),VLOOKUP(A6,'Bare+Vapour'!$A$1:$S$18,16,0))*1000</f>
        <v>5642.9301557125546</v>
      </c>
      <c r="O6" s="48">
        <f>MIN(VLOOKUP(A6,'Insul+Vapour'!$A$1:$S$18,17,0),VLOOKUP(A6,'Insul+Vapour'!$A$1:$S$18,16,0))*1000</f>
        <v>4989.0658003294111</v>
      </c>
      <c r="P6" s="48">
        <f>MIN(VLOOKUP(A6,'Bare+Water'!$A$1:$S$18,17,0),VLOOKUP(A6,'Bare+Water'!$A$1:$S$18,16,0))*1000</f>
        <v>5189.880312953982</v>
      </c>
      <c r="Q6" s="48">
        <f>MIN(VLOOKUP(A6,'Insul+Water'!$A$1:$S$18,17,0),VLOOKUP(A6,'Insul+Water'!$A$1:$S$18,16,0))*1000</f>
        <v>4725.0380744251715</v>
      </c>
    </row>
    <row r="7" spans="1:17" ht="19.149999999999999" customHeight="1" thickBot="1" x14ac:dyDescent="0.25">
      <c r="A7" s="39">
        <v>3</v>
      </c>
      <c r="B7" s="40">
        <v>6400</v>
      </c>
      <c r="C7" s="40">
        <v>4800</v>
      </c>
      <c r="D7" s="40">
        <v>5850</v>
      </c>
      <c r="E7" s="40">
        <v>4400</v>
      </c>
      <c r="F7" s="46">
        <v>9500</v>
      </c>
      <c r="G7" s="46">
        <v>8200</v>
      </c>
      <c r="H7" s="46">
        <v>8800</v>
      </c>
      <c r="I7" s="46">
        <v>7400</v>
      </c>
      <c r="J7" s="48">
        <f>MIN(VLOOKUP(A7,'Bare+Vapour'!$A$1:$S$18,19,0),VLOOKUP(A7,'Bare+Vapour'!$A$1:$S$18,18,0))*1000</f>
        <v>8235.2070306826645</v>
      </c>
      <c r="K7" s="48">
        <f>MIN(VLOOKUP(A7,'Insul+Vapour'!$A$1:$S$18,19,0),VLOOKUP(A7,'Insul+Vapour'!$A$1:$S$18,18,0))*1000</f>
        <v>6882.2873180068536</v>
      </c>
      <c r="L7" s="48">
        <f>MIN(VLOOKUP(A7,'Bare+Water'!$A$1:$S$18,19,0),VLOOKUP(A7,'Bare+Water'!$A$1:$S$18,18,0))*1000</f>
        <v>7541.5159901076067</v>
      </c>
      <c r="M7" s="48">
        <f>MIN(VLOOKUP(A7,'Insul+Water'!$A$1:$S$18,19,0),VLOOKUP(A7,'Insul+Water'!$A$1:$S$18,18,0))*1000</f>
        <v>6489.7270050210427</v>
      </c>
      <c r="N7" s="48">
        <f>MIN(VLOOKUP(A7,'Bare+Vapour'!$A$1:$S$18,17,0),VLOOKUP(A7,'Bare+Vapour'!$A$1:$S$18,16,0))*1000</f>
        <v>6860.956213686386</v>
      </c>
      <c r="O7" s="48">
        <f>MIN(VLOOKUP(A7,'Insul+Vapour'!$A$1:$S$18,17,0),VLOOKUP(A7,'Insul+Vapour'!$A$1:$S$18,16,0))*1000</f>
        <v>5733.8050838219024</v>
      </c>
      <c r="P7" s="48">
        <f>MIN(VLOOKUP(A7,'Bare+Water'!$A$1:$S$18,17,0),VLOOKUP(A7,'Bare+Water'!$A$1:$S$18,16,0))*1000</f>
        <v>6283.0249197335388</v>
      </c>
      <c r="Q7" s="48">
        <f>MIN(VLOOKUP(A7,'Insul+Water'!$A$1:$S$18,17,0),VLOOKUP(A7,'Insul+Water'!$A$1:$S$18,16,0))*1000</f>
        <v>5298.8399107540126</v>
      </c>
    </row>
    <row r="8" spans="1:17" ht="19.149999999999999" customHeight="1" thickBot="1" x14ac:dyDescent="0.25">
      <c r="A8" s="39">
        <v>4</v>
      </c>
      <c r="B8" s="40">
        <v>7300</v>
      </c>
      <c r="C8" s="40">
        <v>6450</v>
      </c>
      <c r="D8" s="40">
        <v>6600</v>
      </c>
      <c r="E8" s="40">
        <v>5950</v>
      </c>
      <c r="F8" s="46"/>
      <c r="G8" s="46"/>
      <c r="H8" s="46"/>
      <c r="I8" s="46">
        <v>8500</v>
      </c>
      <c r="J8" s="48"/>
      <c r="K8" s="48"/>
      <c r="L8" s="48"/>
      <c r="M8" s="48">
        <f>MIN(VLOOKUP(A8,'Insul+Water'!$A$1:$S$18,19,0),VLOOKUP(A8,'Insul+Water'!$A$1:$S$18,18,0))*1000</f>
        <v>7578.147722687936</v>
      </c>
      <c r="N8" s="48"/>
      <c r="O8" s="48"/>
      <c r="P8" s="48"/>
      <c r="Q8" s="48">
        <f>MIN(VLOOKUP(A8,'Insul+Water'!$A$1:$S$18,17,0),VLOOKUP(A8,'Insul+Water'!$A$1:$S$18,16,0))*1000</f>
        <v>6221.6402710247421</v>
      </c>
    </row>
    <row r="9" spans="1:17" ht="19.149999999999999" customHeight="1" thickBot="1" x14ac:dyDescent="0.25">
      <c r="A9" s="39">
        <v>6</v>
      </c>
      <c r="B9" s="40">
        <v>8900</v>
      </c>
      <c r="C9" s="40">
        <v>7950</v>
      </c>
      <c r="D9" s="40">
        <v>7850</v>
      </c>
      <c r="E9" s="40">
        <v>7000</v>
      </c>
    </row>
    <row r="10" spans="1:17" ht="19.149999999999999" customHeight="1" thickBot="1" x14ac:dyDescent="0.25">
      <c r="A10" s="39">
        <v>8</v>
      </c>
      <c r="B10" s="40">
        <v>10250</v>
      </c>
      <c r="C10" s="40">
        <v>9100</v>
      </c>
      <c r="D10" s="40">
        <v>8600</v>
      </c>
      <c r="E10" s="40">
        <v>8000</v>
      </c>
    </row>
    <row r="11" spans="1:17" ht="19.149999999999999" customHeight="1" thickBot="1" x14ac:dyDescent="0.25">
      <c r="A11" s="39">
        <v>10</v>
      </c>
      <c r="B11" s="40">
        <v>11400</v>
      </c>
      <c r="C11" s="40">
        <v>10300</v>
      </c>
      <c r="D11" s="40">
        <v>9350</v>
      </c>
      <c r="E11" s="40">
        <v>8850</v>
      </c>
    </row>
    <row r="12" spans="1:17" ht="19.149999999999999" customHeight="1" thickBot="1" x14ac:dyDescent="0.25">
      <c r="A12" s="39">
        <v>12</v>
      </c>
      <c r="B12" s="40">
        <v>12500</v>
      </c>
      <c r="C12" s="40">
        <v>11300</v>
      </c>
      <c r="D12" s="40">
        <v>9900</v>
      </c>
      <c r="E12" s="40">
        <v>9450</v>
      </c>
    </row>
    <row r="13" spans="1:17" ht="19.149999999999999" customHeight="1" thickBot="1" x14ac:dyDescent="0.25">
      <c r="A13" s="39">
        <v>14</v>
      </c>
      <c r="B13" s="40">
        <v>13000</v>
      </c>
      <c r="C13" s="40">
        <v>12000</v>
      </c>
      <c r="D13" s="40">
        <v>10600</v>
      </c>
      <c r="E13" s="40">
        <v>10150</v>
      </c>
    </row>
    <row r="14" spans="1:17" ht="19.149999999999999" customHeight="1" thickBot="1" x14ac:dyDescent="0.25">
      <c r="A14" s="39">
        <v>16</v>
      </c>
      <c r="B14" s="40">
        <v>14000</v>
      </c>
      <c r="C14" s="40">
        <v>12900</v>
      </c>
      <c r="D14" s="40">
        <v>11100</v>
      </c>
      <c r="E14" s="40">
        <v>10700</v>
      </c>
    </row>
    <row r="15" spans="1:17" ht="19.149999999999999" customHeight="1" thickBot="1" x14ac:dyDescent="0.25">
      <c r="A15" s="39">
        <v>18</v>
      </c>
      <c r="B15" s="40">
        <v>14900</v>
      </c>
      <c r="C15" s="40">
        <v>13500</v>
      </c>
      <c r="D15" s="40">
        <v>11550</v>
      </c>
      <c r="E15" s="40">
        <v>11100</v>
      </c>
    </row>
    <row r="16" spans="1:17" ht="19.149999999999999" customHeight="1" thickBot="1" x14ac:dyDescent="0.25">
      <c r="A16" s="39">
        <v>20</v>
      </c>
      <c r="B16" s="40">
        <v>15600</v>
      </c>
      <c r="C16" s="40">
        <v>14500</v>
      </c>
      <c r="D16" s="40">
        <v>12300</v>
      </c>
      <c r="E16" s="40">
        <v>11950</v>
      </c>
    </row>
    <row r="17" spans="1:5" ht="19.149999999999999" customHeight="1" thickBot="1" x14ac:dyDescent="0.25">
      <c r="A17" s="39">
        <v>24</v>
      </c>
      <c r="B17" s="40">
        <v>17200</v>
      </c>
      <c r="C17" s="40">
        <v>15900</v>
      </c>
      <c r="D17" s="40">
        <v>13100</v>
      </c>
      <c r="E17" s="40">
        <v>12700</v>
      </c>
    </row>
    <row r="18" spans="1:5" ht="19.149999999999999" customHeight="1" thickBot="1" x14ac:dyDescent="0.25">
      <c r="A18" s="39">
        <v>26</v>
      </c>
      <c r="B18" s="40">
        <v>18000</v>
      </c>
      <c r="C18" s="40">
        <v>16800</v>
      </c>
      <c r="D18" s="40">
        <v>13600</v>
      </c>
      <c r="E18" s="40">
        <v>13250</v>
      </c>
    </row>
    <row r="19" spans="1:5" ht="19.149999999999999" customHeight="1" thickBot="1" x14ac:dyDescent="0.25">
      <c r="A19" s="39">
        <v>28</v>
      </c>
      <c r="B19" s="40">
        <v>18700</v>
      </c>
      <c r="C19" s="40">
        <v>17400</v>
      </c>
      <c r="D19" s="40">
        <v>13900</v>
      </c>
      <c r="E19" s="40">
        <v>13550</v>
      </c>
    </row>
    <row r="20" spans="1:5" ht="19.149999999999999" customHeight="1" thickBot="1" x14ac:dyDescent="0.25">
      <c r="A20" s="39">
        <v>30</v>
      </c>
      <c r="B20" s="40">
        <v>19400</v>
      </c>
      <c r="C20" s="40">
        <v>18000</v>
      </c>
      <c r="D20" s="40">
        <v>14200</v>
      </c>
      <c r="E20" s="40">
        <v>13950</v>
      </c>
    </row>
    <row r="21" spans="1:5" ht="19.149999999999999" customHeight="1" thickBot="1" x14ac:dyDescent="0.25">
      <c r="A21" s="39">
        <v>32</v>
      </c>
      <c r="B21" s="40">
        <v>20000</v>
      </c>
      <c r="C21" s="40">
        <v>18700</v>
      </c>
      <c r="D21" s="40">
        <v>14500</v>
      </c>
      <c r="E21" s="40">
        <v>14250</v>
      </c>
    </row>
    <row r="22" spans="1:5" ht="19.149999999999999" customHeight="1" thickBot="1" x14ac:dyDescent="0.25">
      <c r="A22" s="39">
        <v>34</v>
      </c>
      <c r="B22" s="40">
        <v>20700</v>
      </c>
      <c r="C22" s="40">
        <v>19200</v>
      </c>
      <c r="D22" s="40">
        <v>14800</v>
      </c>
      <c r="E22" s="40">
        <v>14550</v>
      </c>
    </row>
    <row r="23" spans="1:5" ht="19.149999999999999" customHeight="1" thickBot="1" x14ac:dyDescent="0.25">
      <c r="A23" s="39">
        <v>36</v>
      </c>
      <c r="B23" s="40">
        <v>21000</v>
      </c>
      <c r="C23" s="40">
        <v>19900</v>
      </c>
      <c r="D23" s="40">
        <v>15100</v>
      </c>
      <c r="E23" s="40">
        <v>14700</v>
      </c>
    </row>
    <row r="24" spans="1:5" ht="19.149999999999999" customHeight="1" thickBot="1" x14ac:dyDescent="0.25">
      <c r="A24" s="39">
        <v>42</v>
      </c>
      <c r="B24" s="40">
        <v>23000</v>
      </c>
      <c r="C24" s="40">
        <v>21500</v>
      </c>
      <c r="D24" s="40">
        <v>15600</v>
      </c>
      <c r="E24" s="40">
        <v>15000</v>
      </c>
    </row>
    <row r="25" spans="1:5" ht="19.149999999999999" customHeight="1" thickBot="1" x14ac:dyDescent="0.25">
      <c r="A25" s="41">
        <v>48</v>
      </c>
      <c r="B25" s="42">
        <v>24000</v>
      </c>
      <c r="C25" s="42">
        <v>22500</v>
      </c>
      <c r="D25" s="42">
        <v>15700</v>
      </c>
      <c r="E25" s="42">
        <v>15300</v>
      </c>
    </row>
  </sheetData>
  <sheetProtection algorithmName="SHA-512" hashValue="KSwKs0Z/js6PSHRhhY2fgdPwALZokZaSREbHFAFwRDyraTm/JL5cVtS0/xDzxCqvlqRrypPmU2XL7kiaproXSw==" saltValue="Or1eckspwQS1VOSYHOa10A==" spinCount="100000" sheet="1" objects="1" scenarios="1"/>
  <mergeCells count="11">
    <mergeCell ref="N1:Q1"/>
    <mergeCell ref="N2:O2"/>
    <mergeCell ref="P2:Q2"/>
    <mergeCell ref="B1:E1"/>
    <mergeCell ref="B2:C2"/>
    <mergeCell ref="D2:E2"/>
    <mergeCell ref="F2:G2"/>
    <mergeCell ref="H2:I2"/>
    <mergeCell ref="J2:K2"/>
    <mergeCell ref="L2:M2"/>
    <mergeCell ref="J1:M1"/>
  </mergeCells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3"/>
  <sheetViews>
    <sheetView workbookViewId="0">
      <pane ySplit="3" topLeftCell="A4" activePane="bottomLeft" state="frozen"/>
      <selection pane="bottomLeft" activeCell="F5" sqref="F5"/>
    </sheetView>
  </sheetViews>
  <sheetFormatPr defaultRowHeight="12.75" x14ac:dyDescent="0.2"/>
  <cols>
    <col min="1" max="1" width="13.7109375" customWidth="1"/>
    <col min="2" max="2" width="12.85546875" customWidth="1"/>
    <col min="3" max="3" width="12.42578125" customWidth="1"/>
    <col min="4" max="4" width="14.28515625" customWidth="1"/>
    <col min="5" max="5" width="12.28515625" customWidth="1"/>
    <col min="6" max="6" width="13" customWidth="1"/>
    <col min="7" max="7" width="13.5703125" customWidth="1"/>
    <col min="8" max="8" width="11.42578125" customWidth="1"/>
    <col min="9" max="9" width="12.85546875" customWidth="1"/>
  </cols>
  <sheetData>
    <row r="1" spans="1:9" ht="21.6" customHeight="1" thickBot="1" x14ac:dyDescent="0.25">
      <c r="A1" s="43"/>
      <c r="B1" s="158" t="s">
        <v>71</v>
      </c>
      <c r="C1" s="160"/>
      <c r="D1" s="160"/>
      <c r="E1" s="159"/>
    </row>
    <row r="2" spans="1:9" ht="21.6" customHeight="1" thickBot="1" x14ac:dyDescent="0.25">
      <c r="A2" s="35" t="s">
        <v>65</v>
      </c>
      <c r="B2" s="158" t="s">
        <v>67</v>
      </c>
      <c r="C2" s="159"/>
      <c r="D2" s="158" t="s">
        <v>68</v>
      </c>
      <c r="E2" s="159"/>
    </row>
    <row r="3" spans="1:9" ht="21.6" customHeight="1" thickBot="1" x14ac:dyDescent="0.25">
      <c r="A3" s="44"/>
      <c r="B3" s="37" t="s">
        <v>69</v>
      </c>
      <c r="C3" s="38" t="s">
        <v>72</v>
      </c>
      <c r="D3" s="37" t="s">
        <v>69</v>
      </c>
      <c r="E3" s="37" t="s">
        <v>72</v>
      </c>
      <c r="F3" s="45" t="s">
        <v>69</v>
      </c>
      <c r="G3" s="45" t="s">
        <v>72</v>
      </c>
      <c r="H3" s="45" t="s">
        <v>69</v>
      </c>
      <c r="I3" s="45" t="s">
        <v>72</v>
      </c>
    </row>
    <row r="4" spans="1:9" ht="21" customHeight="1" thickBot="1" x14ac:dyDescent="0.25">
      <c r="A4" s="39">
        <v>1</v>
      </c>
      <c r="B4" s="40">
        <v>3800</v>
      </c>
      <c r="C4" s="40">
        <v>3300</v>
      </c>
      <c r="D4" s="40">
        <v>3650</v>
      </c>
      <c r="E4" s="40">
        <v>3200</v>
      </c>
      <c r="F4" s="46">
        <v>5700</v>
      </c>
      <c r="G4" s="46">
        <v>4300</v>
      </c>
      <c r="H4" s="46">
        <v>5200</v>
      </c>
      <c r="I4" s="46">
        <v>4100</v>
      </c>
    </row>
    <row r="5" spans="1:9" ht="21" customHeight="1" thickBot="1" x14ac:dyDescent="0.25">
      <c r="A5" s="39">
        <v>1.5</v>
      </c>
      <c r="B5" s="40">
        <v>4700</v>
      </c>
      <c r="C5" s="40">
        <v>3900</v>
      </c>
      <c r="D5" s="40">
        <v>4350</v>
      </c>
      <c r="E5" s="40">
        <v>3700</v>
      </c>
      <c r="F5" s="46">
        <v>7000</v>
      </c>
      <c r="G5" s="46">
        <v>4800</v>
      </c>
      <c r="H5" s="46">
        <v>5900</v>
      </c>
      <c r="I5" s="46">
        <v>4600</v>
      </c>
    </row>
    <row r="6" spans="1:9" ht="21" customHeight="1" thickBot="1" x14ac:dyDescent="0.25">
      <c r="A6" s="39">
        <v>2</v>
      </c>
      <c r="B6" s="42">
        <v>5300</v>
      </c>
      <c r="C6" s="42">
        <v>4000</v>
      </c>
      <c r="D6" s="42">
        <v>4700</v>
      </c>
      <c r="E6" s="42">
        <v>3850</v>
      </c>
      <c r="F6" s="47">
        <v>7900</v>
      </c>
      <c r="G6" s="47">
        <v>5400</v>
      </c>
      <c r="H6" s="47">
        <v>6900</v>
      </c>
      <c r="I6" s="47">
        <v>4900</v>
      </c>
    </row>
    <row r="7" spans="1:9" ht="21" customHeight="1" thickBot="1" x14ac:dyDescent="0.25">
      <c r="A7" s="39">
        <v>3</v>
      </c>
      <c r="B7" s="42">
        <v>6500</v>
      </c>
      <c r="C7" s="42">
        <v>4300</v>
      </c>
      <c r="D7" s="42">
        <v>5550</v>
      </c>
      <c r="E7" s="42">
        <v>4000</v>
      </c>
      <c r="F7" s="47"/>
      <c r="G7" s="47">
        <v>7000</v>
      </c>
      <c r="H7" s="47">
        <v>8200</v>
      </c>
      <c r="I7" s="47">
        <v>6200</v>
      </c>
    </row>
    <row r="8" spans="1:9" ht="21" customHeight="1" thickBot="1" x14ac:dyDescent="0.25">
      <c r="A8" s="39">
        <v>4</v>
      </c>
      <c r="B8" s="40">
        <v>7400</v>
      </c>
      <c r="C8" s="40">
        <v>6000</v>
      </c>
      <c r="D8" s="40">
        <v>6150</v>
      </c>
      <c r="E8" s="40">
        <v>5100</v>
      </c>
      <c r="F8" s="46"/>
      <c r="G8" s="46"/>
      <c r="H8" s="46"/>
      <c r="I8" s="46">
        <v>7000</v>
      </c>
    </row>
    <row r="9" spans="1:9" ht="21" customHeight="1" thickBot="1" x14ac:dyDescent="0.25">
      <c r="A9" s="39">
        <v>6</v>
      </c>
      <c r="B9" s="40">
        <v>9000</v>
      </c>
      <c r="C9" s="40">
        <v>7000</v>
      </c>
      <c r="D9" s="40">
        <v>7150</v>
      </c>
      <c r="E9" s="40">
        <v>5800</v>
      </c>
      <c r="F9" s="46"/>
      <c r="G9" s="46"/>
      <c r="H9" s="46"/>
      <c r="I9" s="46">
        <v>9500</v>
      </c>
    </row>
    <row r="10" spans="1:9" ht="21" customHeight="1" thickBot="1" x14ac:dyDescent="0.25">
      <c r="A10" s="39">
        <v>8</v>
      </c>
      <c r="B10" s="40">
        <v>10300</v>
      </c>
      <c r="C10" s="40">
        <v>8700</v>
      </c>
      <c r="D10" s="40">
        <v>8000</v>
      </c>
      <c r="E10" s="40">
        <v>6700</v>
      </c>
    </row>
    <row r="11" spans="1:9" ht="21" customHeight="1" thickBot="1" x14ac:dyDescent="0.25">
      <c r="A11" s="39">
        <v>10</v>
      </c>
      <c r="B11" s="40">
        <v>11500</v>
      </c>
      <c r="C11" s="40">
        <v>9900</v>
      </c>
      <c r="D11" s="40">
        <v>8750</v>
      </c>
      <c r="E11" s="40">
        <v>7500</v>
      </c>
    </row>
    <row r="12" spans="1:9" ht="21" customHeight="1" thickBot="1" x14ac:dyDescent="0.25">
      <c r="A12" s="39">
        <v>12</v>
      </c>
      <c r="B12" s="40">
        <v>12500</v>
      </c>
      <c r="C12" s="40">
        <v>11000</v>
      </c>
      <c r="D12" s="40">
        <v>9400</v>
      </c>
      <c r="E12" s="40">
        <v>8500</v>
      </c>
    </row>
    <row r="13" spans="1:9" ht="21" customHeight="1" thickBot="1" x14ac:dyDescent="0.25">
      <c r="A13" s="39">
        <v>14</v>
      </c>
      <c r="B13" s="40">
        <v>13100</v>
      </c>
      <c r="C13" s="40">
        <v>11600</v>
      </c>
      <c r="D13" s="40">
        <v>9800</v>
      </c>
      <c r="E13" s="40">
        <v>9200</v>
      </c>
    </row>
    <row r="14" spans="1:9" ht="21" customHeight="1" thickBot="1" x14ac:dyDescent="0.25">
      <c r="A14" s="39">
        <v>16</v>
      </c>
      <c r="B14" s="40">
        <v>14000</v>
      </c>
      <c r="C14" s="40">
        <v>12400</v>
      </c>
      <c r="D14" s="40">
        <v>10200</v>
      </c>
      <c r="E14" s="40">
        <v>9500</v>
      </c>
    </row>
    <row r="15" spans="1:9" ht="21" customHeight="1" thickBot="1" x14ac:dyDescent="0.25">
      <c r="A15" s="39">
        <v>18</v>
      </c>
      <c r="B15" s="40">
        <v>14900</v>
      </c>
      <c r="C15" s="40">
        <v>13000</v>
      </c>
      <c r="D15" s="40">
        <v>10600</v>
      </c>
      <c r="E15" s="40">
        <v>9800</v>
      </c>
    </row>
    <row r="16" spans="1:9" ht="21" customHeight="1" thickBot="1" x14ac:dyDescent="0.25">
      <c r="A16" s="39">
        <v>20</v>
      </c>
      <c r="B16" s="40">
        <v>15700</v>
      </c>
      <c r="C16" s="40">
        <v>13900</v>
      </c>
      <c r="D16" s="40">
        <v>10800</v>
      </c>
      <c r="E16" s="40">
        <v>9900</v>
      </c>
    </row>
    <row r="17" spans="1:5" ht="21" customHeight="1" thickBot="1" x14ac:dyDescent="0.25">
      <c r="A17" s="39">
        <v>24</v>
      </c>
      <c r="B17" s="40">
        <v>17200</v>
      </c>
      <c r="C17" s="40">
        <v>15500</v>
      </c>
      <c r="D17" s="40">
        <v>12200</v>
      </c>
      <c r="E17" s="40">
        <v>11500</v>
      </c>
    </row>
    <row r="18" spans="1:5" ht="21" customHeight="1" thickBot="1" x14ac:dyDescent="0.25">
      <c r="A18" s="39">
        <v>26</v>
      </c>
      <c r="B18" s="40">
        <v>17600</v>
      </c>
      <c r="C18" s="40">
        <v>16000</v>
      </c>
      <c r="D18" s="40">
        <v>13000</v>
      </c>
      <c r="E18" s="40">
        <v>12500</v>
      </c>
    </row>
    <row r="19" spans="1:5" ht="21" customHeight="1" thickBot="1" x14ac:dyDescent="0.25">
      <c r="A19" s="39">
        <v>28</v>
      </c>
      <c r="B19" s="40">
        <v>18200</v>
      </c>
      <c r="C19" s="40">
        <v>17000</v>
      </c>
      <c r="D19" s="40">
        <v>13200</v>
      </c>
      <c r="E19" s="40">
        <v>12750</v>
      </c>
    </row>
    <row r="20" spans="1:5" ht="21" customHeight="1" thickBot="1" x14ac:dyDescent="0.25">
      <c r="A20" s="39">
        <v>30</v>
      </c>
      <c r="B20" s="40">
        <v>19000</v>
      </c>
      <c r="C20" s="40">
        <v>17500</v>
      </c>
      <c r="D20" s="40">
        <v>13500</v>
      </c>
      <c r="E20" s="40">
        <v>13000</v>
      </c>
    </row>
    <row r="21" spans="1:5" ht="21" customHeight="1" thickBot="1" x14ac:dyDescent="0.25">
      <c r="A21" s="39">
        <v>32</v>
      </c>
      <c r="B21" s="40">
        <v>19500</v>
      </c>
      <c r="C21" s="40">
        <v>18000</v>
      </c>
      <c r="D21" s="40">
        <v>13750</v>
      </c>
      <c r="E21" s="40">
        <v>13200</v>
      </c>
    </row>
    <row r="22" spans="1:5" ht="21" customHeight="1" thickBot="1" x14ac:dyDescent="0.25">
      <c r="A22" s="39">
        <v>34</v>
      </c>
      <c r="B22" s="40">
        <v>20200</v>
      </c>
      <c r="C22" s="40">
        <v>18500</v>
      </c>
      <c r="D22" s="40">
        <v>14000</v>
      </c>
      <c r="E22" s="40">
        <v>13500</v>
      </c>
    </row>
    <row r="23" spans="1:5" ht="21" customHeight="1" thickBot="1" x14ac:dyDescent="0.25">
      <c r="A23" s="39">
        <v>36</v>
      </c>
      <c r="B23" s="40">
        <v>21000</v>
      </c>
      <c r="C23" s="40">
        <v>19000</v>
      </c>
      <c r="D23" s="40">
        <v>14200</v>
      </c>
      <c r="E23" s="40">
        <v>14000</v>
      </c>
    </row>
  </sheetData>
  <sheetProtection algorithmName="SHA-512" hashValue="v9g87EMEcaQ2VlWuYKObJHkazzMOm+rIJmNGyqksqKHr1Lc3wgmXAy5Zq8e+RS8PqcGmpaGTf4p6MOJChfUTHA==" saltValue="Hy4/IGQ1CbUjY75PKoCggw==" spinCount="100000" sheet="1" objects="1" scenarios="1"/>
  <mergeCells count="3">
    <mergeCell ref="B1:E1"/>
    <mergeCell ref="B2:C2"/>
    <mergeCell ref="D2:E2"/>
  </mergeCells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460"/>
  <sheetViews>
    <sheetView zoomScale="115" zoomScaleNormal="115" workbookViewId="0">
      <selection activeCell="N28" sqref="N28"/>
    </sheetView>
  </sheetViews>
  <sheetFormatPr defaultRowHeight="12.75" x14ac:dyDescent="0.2"/>
  <cols>
    <col min="1" max="9" width="3.28515625" customWidth="1"/>
    <col min="10" max="10" width="3.28515625" style="50" customWidth="1"/>
    <col min="11" max="12" width="3.28515625" customWidth="1"/>
    <col min="13" max="13" width="3.140625" customWidth="1"/>
    <col min="14" max="31" width="3.28515625" customWidth="1"/>
  </cols>
  <sheetData>
    <row r="1" spans="1:28" s="76" customFormat="1" ht="13.9" customHeight="1" x14ac:dyDescent="0.2">
      <c r="A1" s="165" t="s">
        <v>123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77"/>
      <c r="Z1" s="77"/>
      <c r="AA1" s="77"/>
      <c r="AB1" s="78"/>
    </row>
    <row r="2" spans="1:28" s="76" customFormat="1" ht="13.9" customHeight="1" x14ac:dyDescent="0.2">
      <c r="A2" s="79"/>
      <c r="B2" s="80"/>
      <c r="C2" s="80"/>
      <c r="D2" s="80"/>
      <c r="E2" s="80"/>
      <c r="F2" s="80"/>
      <c r="G2" s="80"/>
      <c r="H2" s="80"/>
      <c r="I2" s="80"/>
      <c r="J2" s="81" t="s">
        <v>124</v>
      </c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2"/>
      <c r="Z2" s="82"/>
      <c r="AA2" s="82"/>
      <c r="AB2" s="83"/>
    </row>
    <row r="3" spans="1:28" s="76" customFormat="1" ht="13.9" customHeight="1" x14ac:dyDescent="0.2">
      <c r="A3" s="79"/>
      <c r="B3" s="80"/>
      <c r="C3" s="80"/>
      <c r="D3" s="80"/>
      <c r="E3" s="80"/>
      <c r="F3" s="80"/>
      <c r="G3" s="80"/>
      <c r="H3" s="80"/>
      <c r="I3" s="80"/>
      <c r="J3" s="81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2"/>
      <c r="Z3" s="82"/>
      <c r="AA3" s="82"/>
      <c r="AB3" s="83"/>
    </row>
    <row r="4" spans="1:28" s="76" customFormat="1" ht="13.9" customHeight="1" x14ac:dyDescent="0.2">
      <c r="A4" s="84" t="s">
        <v>137</v>
      </c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2"/>
      <c r="Z4" s="82"/>
      <c r="AA4" s="82"/>
      <c r="AB4" s="83"/>
    </row>
    <row r="5" spans="1:28" s="28" customFormat="1" ht="13.9" customHeight="1" x14ac:dyDescent="0.2">
      <c r="A5" s="86"/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52"/>
      <c r="Z5" s="52"/>
      <c r="AA5" s="52"/>
      <c r="AB5" s="88"/>
    </row>
    <row r="6" spans="1:28" s="28" customFormat="1" ht="16.899999999999999" customHeight="1" x14ac:dyDescent="0.2">
      <c r="A6" s="89" t="s">
        <v>11</v>
      </c>
      <c r="B6" s="52"/>
      <c r="C6" s="52"/>
      <c r="D6" s="52"/>
      <c r="E6" s="52"/>
      <c r="F6" s="52"/>
      <c r="G6" s="90"/>
      <c r="H6" s="52"/>
      <c r="I6" s="52"/>
      <c r="J6" s="91" t="s">
        <v>79</v>
      </c>
      <c r="K6" s="168" t="s">
        <v>80</v>
      </c>
      <c r="L6" s="168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88"/>
    </row>
    <row r="7" spans="1:28" s="28" customFormat="1" ht="16.899999999999999" customHeight="1" x14ac:dyDescent="0.2">
      <c r="A7" s="89" t="s">
        <v>84</v>
      </c>
      <c r="B7" s="52"/>
      <c r="C7" s="52"/>
      <c r="D7" s="52"/>
      <c r="E7" s="52"/>
      <c r="F7" s="52"/>
      <c r="G7" s="52"/>
      <c r="H7" s="52"/>
      <c r="I7" s="52" t="s">
        <v>85</v>
      </c>
      <c r="J7" s="75" t="s">
        <v>79</v>
      </c>
      <c r="K7" s="167">
        <v>60.3</v>
      </c>
      <c r="L7" s="167"/>
      <c r="M7" s="52"/>
      <c r="N7" s="52"/>
      <c r="O7" s="52"/>
      <c r="P7" s="52" t="s">
        <v>3</v>
      </c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88"/>
    </row>
    <row r="8" spans="1:28" s="28" customFormat="1" ht="16.899999999999999" customHeight="1" x14ac:dyDescent="0.2">
      <c r="A8" s="89" t="s">
        <v>86</v>
      </c>
      <c r="B8" s="52"/>
      <c r="C8" s="52"/>
      <c r="D8" s="52"/>
      <c r="E8" s="52"/>
      <c r="F8" s="52"/>
      <c r="G8" s="52"/>
      <c r="H8" s="52"/>
      <c r="I8" s="52"/>
      <c r="J8" s="75" t="s">
        <v>79</v>
      </c>
      <c r="K8" s="167" t="s">
        <v>7</v>
      </c>
      <c r="L8" s="167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88"/>
    </row>
    <row r="9" spans="1:28" s="28" customFormat="1" ht="16.899999999999999" customHeight="1" x14ac:dyDescent="0.2">
      <c r="A9" s="89" t="s">
        <v>87</v>
      </c>
      <c r="B9" s="52"/>
      <c r="C9" s="52"/>
      <c r="D9" s="52"/>
      <c r="E9" s="52"/>
      <c r="F9" s="52"/>
      <c r="G9" s="52"/>
      <c r="H9" s="52"/>
      <c r="I9" s="52" t="s">
        <v>88</v>
      </c>
      <c r="J9" s="75" t="s">
        <v>79</v>
      </c>
      <c r="K9" s="169">
        <v>3.91</v>
      </c>
      <c r="L9" s="169"/>
      <c r="M9" s="52"/>
      <c r="N9" s="52"/>
      <c r="O9" s="52"/>
      <c r="P9" s="52" t="s">
        <v>3</v>
      </c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88"/>
    </row>
    <row r="10" spans="1:28" s="28" customFormat="1" ht="16.899999999999999" customHeight="1" x14ac:dyDescent="0.2">
      <c r="A10" s="89" t="s">
        <v>89</v>
      </c>
      <c r="B10" s="52"/>
      <c r="C10" s="52"/>
      <c r="D10" s="52"/>
      <c r="E10" s="52"/>
      <c r="F10" s="52"/>
      <c r="G10" s="52"/>
      <c r="H10" s="52"/>
      <c r="I10" s="52" t="s">
        <v>90</v>
      </c>
      <c r="J10" s="75" t="s">
        <v>79</v>
      </c>
      <c r="K10" s="164">
        <f>K7-2*K9</f>
        <v>52.48</v>
      </c>
      <c r="L10" s="164"/>
      <c r="M10" s="52"/>
      <c r="N10" s="52"/>
      <c r="O10" s="52"/>
      <c r="P10" s="52" t="s">
        <v>3</v>
      </c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88"/>
    </row>
    <row r="11" spans="1:28" s="28" customFormat="1" ht="16.899999999999999" customHeight="1" x14ac:dyDescent="0.2">
      <c r="A11" s="89" t="s">
        <v>91</v>
      </c>
      <c r="B11" s="52"/>
      <c r="C11" s="52"/>
      <c r="D11" s="52"/>
      <c r="E11" s="52"/>
      <c r="F11" s="52"/>
      <c r="G11" s="52"/>
      <c r="H11" s="52"/>
      <c r="I11" s="52" t="s">
        <v>92</v>
      </c>
      <c r="J11" s="75" t="s">
        <v>79</v>
      </c>
      <c r="K11" s="172">
        <v>210000</v>
      </c>
      <c r="L11" s="172"/>
      <c r="M11" s="52"/>
      <c r="N11" s="52"/>
      <c r="O11" s="52"/>
      <c r="P11" s="52" t="s">
        <v>81</v>
      </c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88"/>
    </row>
    <row r="12" spans="1:28" s="28" customFormat="1" ht="16.899999999999999" customHeight="1" x14ac:dyDescent="0.2">
      <c r="A12" s="89" t="s">
        <v>1</v>
      </c>
      <c r="B12" s="52"/>
      <c r="C12" s="52"/>
      <c r="D12" s="52"/>
      <c r="E12" s="52"/>
      <c r="F12" s="52"/>
      <c r="G12" s="52"/>
      <c r="H12" s="52"/>
      <c r="I12" s="92" t="s">
        <v>85</v>
      </c>
      <c r="J12" s="75" t="s">
        <v>79</v>
      </c>
      <c r="K12" s="168">
        <v>10</v>
      </c>
      <c r="L12" s="168"/>
      <c r="M12" s="52"/>
      <c r="N12" s="52"/>
      <c r="O12" s="52"/>
      <c r="P12" s="52" t="s">
        <v>3</v>
      </c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88"/>
    </row>
    <row r="13" spans="1:28" s="28" customFormat="1" ht="16.899999999999999" customHeight="1" x14ac:dyDescent="0.2">
      <c r="A13" s="89" t="s">
        <v>2</v>
      </c>
      <c r="B13" s="52"/>
      <c r="C13" s="52"/>
      <c r="D13" s="52"/>
      <c r="E13" s="52"/>
      <c r="F13" s="52"/>
      <c r="G13" s="52"/>
      <c r="H13" s="52"/>
      <c r="I13" s="52" t="s">
        <v>93</v>
      </c>
      <c r="J13" s="75" t="s">
        <v>79</v>
      </c>
      <c r="K13" s="168">
        <v>40</v>
      </c>
      <c r="L13" s="168"/>
      <c r="M13" s="52"/>
      <c r="N13" s="52"/>
      <c r="O13" s="52"/>
      <c r="P13" s="52" t="s">
        <v>81</v>
      </c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88"/>
    </row>
    <row r="14" spans="1:28" s="28" customFormat="1" ht="13.9" customHeight="1" x14ac:dyDescent="0.2">
      <c r="A14" s="93" t="s">
        <v>120</v>
      </c>
      <c r="B14" s="52"/>
      <c r="C14" s="52"/>
      <c r="D14" s="52"/>
      <c r="E14" s="52"/>
      <c r="F14" s="52"/>
      <c r="G14" s="52"/>
      <c r="H14" s="52"/>
      <c r="I14" s="52"/>
      <c r="J14" s="75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88"/>
    </row>
    <row r="15" spans="1:28" s="28" customFormat="1" ht="13.9" customHeight="1" x14ac:dyDescent="0.2">
      <c r="A15" s="93"/>
      <c r="B15" s="52"/>
      <c r="C15" s="52"/>
      <c r="D15" s="52"/>
      <c r="E15" s="52"/>
      <c r="F15" s="52"/>
      <c r="G15" s="52"/>
      <c r="H15" s="52"/>
      <c r="I15" s="52"/>
      <c r="J15" s="75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88"/>
    </row>
    <row r="16" spans="1:28" s="28" customFormat="1" ht="13.9" customHeight="1" x14ac:dyDescent="0.2">
      <c r="A16" s="89" t="s">
        <v>130</v>
      </c>
      <c r="B16" s="52"/>
      <c r="C16" s="52"/>
      <c r="D16" s="52"/>
      <c r="E16" s="52"/>
      <c r="F16" s="52"/>
      <c r="G16" s="52"/>
      <c r="H16" s="52"/>
      <c r="I16" s="52" t="s">
        <v>101</v>
      </c>
      <c r="J16" s="75" t="s">
        <v>79</v>
      </c>
      <c r="K16" s="173">
        <f>(3.1428*(K7^2-K10^2)/4)*7.85*9.81/1000</f>
        <v>53.362265655961629</v>
      </c>
      <c r="L16" s="173"/>
      <c r="M16" s="52"/>
      <c r="N16" s="52"/>
      <c r="O16" s="52"/>
      <c r="P16" s="52" t="s">
        <v>25</v>
      </c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88"/>
    </row>
    <row r="17" spans="1:28" s="28" customFormat="1" ht="13.9" customHeight="1" x14ac:dyDescent="0.2">
      <c r="A17" s="89"/>
      <c r="B17" s="52"/>
      <c r="C17" s="52"/>
      <c r="D17" s="52"/>
      <c r="E17" s="52"/>
      <c r="F17" s="52"/>
      <c r="G17" s="52"/>
      <c r="H17" s="52"/>
      <c r="I17" s="52"/>
      <c r="J17" s="75"/>
      <c r="K17" s="94"/>
      <c r="L17" s="94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88"/>
    </row>
    <row r="18" spans="1:28" s="28" customFormat="1" ht="13.9" customHeight="1" x14ac:dyDescent="0.2">
      <c r="A18" s="89"/>
      <c r="B18" s="52"/>
      <c r="C18" s="52"/>
      <c r="D18" s="52"/>
      <c r="E18" s="52"/>
      <c r="F18" s="52"/>
      <c r="G18" s="52"/>
      <c r="H18" s="52"/>
      <c r="I18" s="52"/>
      <c r="J18" s="75"/>
      <c r="K18" s="52" t="s">
        <v>83</v>
      </c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88"/>
    </row>
    <row r="19" spans="1:28" s="28" customFormat="1" ht="13.9" customHeight="1" x14ac:dyDescent="0.2">
      <c r="A19" s="89" t="s">
        <v>82</v>
      </c>
      <c r="B19" s="52"/>
      <c r="C19" s="52"/>
      <c r="D19" s="52"/>
      <c r="E19" s="52"/>
      <c r="F19" s="52"/>
      <c r="G19" s="52"/>
      <c r="H19" s="52"/>
      <c r="I19" s="52" t="s">
        <v>94</v>
      </c>
      <c r="J19" s="75" t="s">
        <v>79</v>
      </c>
      <c r="K19" s="51"/>
      <c r="L19" s="51">
        <v>64</v>
      </c>
      <c r="M19" s="51"/>
      <c r="N19" s="52"/>
      <c r="O19" s="52"/>
      <c r="P19" s="52" t="s">
        <v>95</v>
      </c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88"/>
    </row>
    <row r="20" spans="1:28" s="28" customFormat="1" ht="13.9" customHeight="1" x14ac:dyDescent="0.2">
      <c r="A20" s="89"/>
      <c r="B20" s="52"/>
      <c r="C20" s="52"/>
      <c r="D20" s="52"/>
      <c r="E20" s="52"/>
      <c r="F20" s="52"/>
      <c r="G20" s="52"/>
      <c r="H20" s="52"/>
      <c r="I20" s="52"/>
      <c r="J20" s="75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88"/>
    </row>
    <row r="21" spans="1:28" s="28" customFormat="1" ht="13.9" customHeight="1" x14ac:dyDescent="0.2">
      <c r="A21" s="89"/>
      <c r="B21" s="52"/>
      <c r="C21" s="52"/>
      <c r="D21" s="52"/>
      <c r="E21" s="52"/>
      <c r="F21" s="52"/>
      <c r="G21" s="52"/>
      <c r="H21" s="52"/>
      <c r="I21" s="52"/>
      <c r="J21" s="75" t="s">
        <v>79</v>
      </c>
      <c r="K21" s="52" t="s">
        <v>96</v>
      </c>
      <c r="L21" s="52"/>
      <c r="M21" s="170" t="str">
        <f>CONCATENATE("(",K7)</f>
        <v>(60.3</v>
      </c>
      <c r="N21" s="170"/>
      <c r="O21" s="95">
        <v>4</v>
      </c>
      <c r="P21" s="52" t="s">
        <v>6</v>
      </c>
      <c r="Q21" s="170" t="str">
        <f>CONCATENATE(K10,)</f>
        <v>52.48</v>
      </c>
      <c r="R21" s="170"/>
      <c r="S21" s="96" t="s">
        <v>141</v>
      </c>
      <c r="T21" s="52"/>
      <c r="U21" s="52"/>
      <c r="V21" s="52"/>
      <c r="W21" s="52"/>
      <c r="X21" s="52"/>
      <c r="Y21" s="52"/>
      <c r="Z21" s="52"/>
      <c r="AA21" s="52"/>
      <c r="AB21" s="88"/>
    </row>
    <row r="22" spans="1:28" s="28" customFormat="1" ht="13.9" customHeight="1" x14ac:dyDescent="0.2">
      <c r="A22" s="89"/>
      <c r="B22" s="52"/>
      <c r="C22" s="52"/>
      <c r="D22" s="52"/>
      <c r="E22" s="52"/>
      <c r="F22" s="52"/>
      <c r="G22" s="52"/>
      <c r="H22" s="52"/>
      <c r="I22" s="52"/>
      <c r="J22" s="75"/>
      <c r="K22" s="51"/>
      <c r="L22" s="51"/>
      <c r="M22" s="51"/>
      <c r="N22" s="51">
        <v>64</v>
      </c>
      <c r="O22" s="51"/>
      <c r="P22" s="51"/>
      <c r="Q22" s="51"/>
      <c r="R22" s="51"/>
      <c r="S22" s="51"/>
      <c r="T22" s="52"/>
      <c r="U22" s="52"/>
      <c r="V22" s="52"/>
      <c r="W22" s="52"/>
      <c r="X22" s="52"/>
      <c r="Y22" s="52"/>
      <c r="Z22" s="52"/>
      <c r="AA22" s="52"/>
      <c r="AB22" s="88"/>
    </row>
    <row r="23" spans="1:28" s="28" customFormat="1" ht="13.9" customHeight="1" x14ac:dyDescent="0.2">
      <c r="A23" s="89"/>
      <c r="B23" s="52"/>
      <c r="C23" s="52"/>
      <c r="D23" s="52"/>
      <c r="E23" s="52"/>
      <c r="F23" s="52"/>
      <c r="G23" s="52"/>
      <c r="H23" s="52"/>
      <c r="I23" s="52"/>
      <c r="J23" s="75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88"/>
    </row>
    <row r="24" spans="1:28" s="28" customFormat="1" ht="13.9" customHeight="1" x14ac:dyDescent="0.2">
      <c r="A24" s="89"/>
      <c r="B24" s="52"/>
      <c r="C24" s="52"/>
      <c r="D24" s="52"/>
      <c r="E24" s="52"/>
      <c r="F24" s="52"/>
      <c r="G24" s="52"/>
      <c r="H24" s="52"/>
      <c r="I24" s="52" t="s">
        <v>94</v>
      </c>
      <c r="J24" s="75" t="s">
        <v>79</v>
      </c>
      <c r="K24" s="171">
        <f>(3.143*(K7^4-K10^4))/64/10000</f>
        <v>27.677091333977401</v>
      </c>
      <c r="L24" s="171"/>
      <c r="M24" s="52"/>
      <c r="N24" s="52"/>
      <c r="O24" s="52"/>
      <c r="P24" s="52" t="s">
        <v>110</v>
      </c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88"/>
    </row>
    <row r="25" spans="1:28" s="28" customFormat="1" ht="13.9" customHeight="1" x14ac:dyDescent="0.2">
      <c r="A25" s="89"/>
      <c r="B25" s="52"/>
      <c r="C25" s="52"/>
      <c r="D25" s="52"/>
      <c r="E25" s="52"/>
      <c r="F25" s="52"/>
      <c r="G25" s="52"/>
      <c r="H25" s="52"/>
      <c r="I25" s="52"/>
      <c r="J25" s="75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88"/>
    </row>
    <row r="26" spans="1:28" s="28" customFormat="1" ht="13.9" customHeight="1" x14ac:dyDescent="0.2">
      <c r="A26" s="93" t="s">
        <v>120</v>
      </c>
      <c r="B26" s="52"/>
      <c r="C26" s="52"/>
      <c r="D26" s="52"/>
      <c r="E26" s="52"/>
      <c r="F26" s="52"/>
      <c r="G26" s="52"/>
      <c r="H26" s="52"/>
      <c r="I26" s="52"/>
      <c r="J26" s="75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88"/>
    </row>
    <row r="27" spans="1:28" s="28" customFormat="1" ht="13.9" customHeight="1" x14ac:dyDescent="0.2">
      <c r="A27" s="89"/>
      <c r="B27" s="52"/>
      <c r="C27" s="52"/>
      <c r="D27" s="52"/>
      <c r="E27" s="52"/>
      <c r="F27" s="52"/>
      <c r="G27" s="52"/>
      <c r="H27" s="52"/>
      <c r="I27" s="52"/>
      <c r="J27" s="75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88"/>
    </row>
    <row r="28" spans="1:28" s="28" customFormat="1" ht="13.9" customHeight="1" x14ac:dyDescent="0.2">
      <c r="A28" s="97" t="s">
        <v>97</v>
      </c>
      <c r="B28" s="52"/>
      <c r="C28" s="52"/>
      <c r="D28" s="52"/>
      <c r="E28" s="52"/>
      <c r="F28" s="52"/>
      <c r="G28" s="52"/>
      <c r="H28" s="52"/>
      <c r="I28" s="52"/>
      <c r="J28" s="75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88"/>
    </row>
    <row r="29" spans="1:28" s="28" customFormat="1" ht="13.9" customHeight="1" x14ac:dyDescent="0.2">
      <c r="A29" s="89"/>
      <c r="B29" s="52"/>
      <c r="C29" s="52"/>
      <c r="D29" s="52"/>
      <c r="E29" s="52"/>
      <c r="F29" s="52"/>
      <c r="G29" s="52"/>
      <c r="H29" s="52"/>
      <c r="I29" s="52"/>
      <c r="J29" s="75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88"/>
    </row>
    <row r="30" spans="1:28" s="28" customFormat="1" ht="13.9" customHeight="1" x14ac:dyDescent="0.2">
      <c r="A30" s="89"/>
      <c r="B30" s="52"/>
      <c r="C30" s="52"/>
      <c r="D30" s="52"/>
      <c r="E30" s="52"/>
      <c r="F30" s="52"/>
      <c r="G30" s="52"/>
      <c r="H30" s="52"/>
      <c r="I30" s="52"/>
      <c r="J30" s="75"/>
      <c r="K30" s="52" t="s">
        <v>85</v>
      </c>
      <c r="L30" s="175" t="s">
        <v>100</v>
      </c>
      <c r="M30" s="52" t="s">
        <v>102</v>
      </c>
      <c r="N30" s="52"/>
      <c r="O30" s="175" t="s">
        <v>103</v>
      </c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88"/>
    </row>
    <row r="31" spans="1:28" s="28" customFormat="1" ht="13.9" customHeight="1" x14ac:dyDescent="0.2">
      <c r="A31" s="89" t="s">
        <v>98</v>
      </c>
      <c r="B31" s="52"/>
      <c r="C31" s="52"/>
      <c r="D31" s="52"/>
      <c r="E31" s="52"/>
      <c r="F31" s="52"/>
      <c r="G31" s="52"/>
      <c r="H31" s="52"/>
      <c r="I31" s="52" t="s">
        <v>99</v>
      </c>
      <c r="J31" s="75" t="s">
        <v>79</v>
      </c>
      <c r="K31" s="51" t="s">
        <v>94</v>
      </c>
      <c r="L31" s="175"/>
      <c r="M31" s="176">
        <v>240</v>
      </c>
      <c r="N31" s="176"/>
      <c r="O31" s="175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88"/>
    </row>
    <row r="32" spans="1:28" s="28" customFormat="1" ht="13.9" customHeight="1" x14ac:dyDescent="0.2">
      <c r="A32" s="89"/>
      <c r="B32" s="52"/>
      <c r="C32" s="52"/>
      <c r="D32" s="52"/>
      <c r="E32" s="52"/>
      <c r="F32" s="52"/>
      <c r="G32" s="52"/>
      <c r="H32" s="52"/>
      <c r="I32" s="52"/>
      <c r="J32" s="75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88"/>
    </row>
    <row r="33" spans="1:28" s="28" customFormat="1" ht="13.9" customHeight="1" x14ac:dyDescent="0.2">
      <c r="A33" s="89"/>
      <c r="B33" s="52"/>
      <c r="C33" s="52"/>
      <c r="D33" s="52"/>
      <c r="E33" s="52"/>
      <c r="F33" s="52"/>
      <c r="G33" s="52"/>
      <c r="H33" s="52"/>
      <c r="I33" s="52"/>
      <c r="J33" s="98">
        <v>2</v>
      </c>
      <c r="K33" s="174" t="s">
        <v>109</v>
      </c>
      <c r="L33" s="58" t="s">
        <v>107</v>
      </c>
      <c r="M33" s="57"/>
      <c r="N33" s="56" t="s">
        <v>99</v>
      </c>
      <c r="O33" s="56" t="s">
        <v>108</v>
      </c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88"/>
    </row>
    <row r="34" spans="1:28" s="28" customFormat="1" ht="13.9" customHeight="1" x14ac:dyDescent="0.2">
      <c r="A34" s="89" t="s">
        <v>104</v>
      </c>
      <c r="B34" s="52"/>
      <c r="C34" s="52"/>
      <c r="D34" s="52"/>
      <c r="E34" s="52"/>
      <c r="F34" s="52"/>
      <c r="G34" s="52"/>
      <c r="H34" s="52"/>
      <c r="I34" s="52" t="s">
        <v>105</v>
      </c>
      <c r="J34" s="75" t="s">
        <v>79</v>
      </c>
      <c r="K34" s="174"/>
      <c r="L34" s="54" t="s">
        <v>85</v>
      </c>
      <c r="M34" s="51" t="s">
        <v>106</v>
      </c>
      <c r="N34" s="51" t="s">
        <v>101</v>
      </c>
      <c r="O34" s="51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88"/>
    </row>
    <row r="35" spans="1:28" s="28" customFormat="1" ht="13.9" customHeight="1" x14ac:dyDescent="0.2">
      <c r="A35" s="89"/>
      <c r="B35" s="52"/>
      <c r="C35" s="52"/>
      <c r="D35" s="52"/>
      <c r="E35" s="52"/>
      <c r="F35" s="52"/>
      <c r="G35" s="52"/>
      <c r="H35" s="52"/>
      <c r="I35" s="52"/>
      <c r="J35" s="75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88"/>
    </row>
    <row r="36" spans="1:28" s="28" customFormat="1" ht="13.9" customHeight="1" x14ac:dyDescent="0.2">
      <c r="A36" s="89"/>
      <c r="B36" s="52"/>
      <c r="C36" s="52"/>
      <c r="D36" s="52"/>
      <c r="E36" s="52"/>
      <c r="F36" s="52"/>
      <c r="G36" s="52"/>
      <c r="H36" s="52"/>
      <c r="I36" s="52"/>
      <c r="J36" s="75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99"/>
    </row>
    <row r="37" spans="1:28" s="28" customFormat="1" ht="13.9" customHeight="1" x14ac:dyDescent="0.2">
      <c r="A37" s="89"/>
      <c r="B37" s="52"/>
      <c r="C37" s="52"/>
      <c r="D37" s="52"/>
      <c r="E37" s="52"/>
      <c r="F37" s="52"/>
      <c r="G37" s="52"/>
      <c r="H37" s="52"/>
      <c r="I37" s="52"/>
      <c r="J37" s="98">
        <v>2</v>
      </c>
      <c r="K37" s="174" t="s">
        <v>109</v>
      </c>
      <c r="L37" s="58" t="s">
        <v>107</v>
      </c>
      <c r="M37" s="55"/>
      <c r="N37" s="56">
        <f>K13</f>
        <v>40</v>
      </c>
      <c r="O37" s="53" t="s">
        <v>106</v>
      </c>
      <c r="P37" s="176">
        <f>K24</f>
        <v>27.677091333977401</v>
      </c>
      <c r="Q37" s="176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88"/>
    </row>
    <row r="38" spans="1:28" s="28" customFormat="1" ht="13.9" customHeight="1" x14ac:dyDescent="0.2">
      <c r="A38" s="89"/>
      <c r="B38" s="52"/>
      <c r="C38" s="52"/>
      <c r="D38" s="52"/>
      <c r="E38" s="52"/>
      <c r="F38" s="52"/>
      <c r="G38" s="52"/>
      <c r="H38" s="52"/>
      <c r="I38" s="52"/>
      <c r="J38" s="75" t="s">
        <v>79</v>
      </c>
      <c r="K38" s="174"/>
      <c r="L38" s="180">
        <f>K7</f>
        <v>60.3</v>
      </c>
      <c r="M38" s="180"/>
      <c r="N38" s="53" t="s">
        <v>106</v>
      </c>
      <c r="O38" s="181">
        <f>K16</f>
        <v>53.362265655961629</v>
      </c>
      <c r="P38" s="181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88"/>
    </row>
    <row r="39" spans="1:28" s="28" customFormat="1" ht="13.9" customHeight="1" thickBot="1" x14ac:dyDescent="0.25">
      <c r="A39" s="89"/>
      <c r="B39" s="52"/>
      <c r="C39" s="52"/>
      <c r="D39" s="52"/>
      <c r="E39" s="52"/>
      <c r="F39" s="52"/>
      <c r="G39" s="52"/>
      <c r="H39" s="52"/>
      <c r="I39" s="52"/>
      <c r="J39" s="75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88"/>
    </row>
    <row r="40" spans="1:28" s="28" customFormat="1" ht="13.9" customHeight="1" thickTop="1" thickBot="1" x14ac:dyDescent="0.25">
      <c r="A40" s="89" t="s">
        <v>104</v>
      </c>
      <c r="B40" s="52"/>
      <c r="C40" s="52"/>
      <c r="D40" s="52"/>
      <c r="E40" s="52"/>
      <c r="F40" s="52"/>
      <c r="G40" s="52"/>
      <c r="H40" s="52"/>
      <c r="I40" s="64" t="s">
        <v>105</v>
      </c>
      <c r="J40" s="65" t="s">
        <v>79</v>
      </c>
      <c r="K40" s="182">
        <f>SQRT((240*K13*K24)/(K7*K16))</f>
        <v>9.08699007306687</v>
      </c>
      <c r="L40" s="182"/>
      <c r="M40" s="66" t="s">
        <v>111</v>
      </c>
      <c r="N40" s="52"/>
      <c r="O40" s="90" t="s">
        <v>112</v>
      </c>
      <c r="P40" s="52"/>
      <c r="Q40" s="52"/>
      <c r="R40" s="52"/>
      <c r="S40" s="67">
        <v>1</v>
      </c>
      <c r="T40" s="52"/>
      <c r="U40" s="52"/>
      <c r="V40" s="52"/>
      <c r="W40" s="52"/>
      <c r="X40" s="52"/>
      <c r="Y40" s="52"/>
      <c r="Z40" s="52"/>
      <c r="AA40" s="52"/>
      <c r="AB40" s="88"/>
    </row>
    <row r="41" spans="1:28" s="28" customFormat="1" ht="13.9" customHeight="1" thickTop="1" x14ac:dyDescent="0.2">
      <c r="A41" s="89"/>
      <c r="B41" s="52"/>
      <c r="C41" s="52"/>
      <c r="D41" s="52"/>
      <c r="E41" s="52"/>
      <c r="F41" s="52"/>
      <c r="G41" s="52"/>
      <c r="H41" s="52"/>
      <c r="I41" s="52"/>
      <c r="J41" s="75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88"/>
    </row>
    <row r="42" spans="1:28" s="28" customFormat="1" ht="13.9" customHeight="1" x14ac:dyDescent="0.2">
      <c r="A42" s="93" t="s">
        <v>120</v>
      </c>
      <c r="B42" s="52"/>
      <c r="C42" s="52"/>
      <c r="D42" s="52"/>
      <c r="E42" s="52"/>
      <c r="F42" s="52"/>
      <c r="G42" s="52"/>
      <c r="H42" s="52"/>
      <c r="I42" s="52"/>
      <c r="J42" s="75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88"/>
    </row>
    <row r="43" spans="1:28" s="28" customFormat="1" ht="13.9" customHeight="1" x14ac:dyDescent="0.2">
      <c r="A43" s="93"/>
      <c r="B43" s="52"/>
      <c r="C43" s="52"/>
      <c r="D43" s="52"/>
      <c r="E43" s="52"/>
      <c r="F43" s="52"/>
      <c r="G43" s="52"/>
      <c r="H43" s="52"/>
      <c r="I43" s="52"/>
      <c r="J43" s="75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88"/>
    </row>
    <row r="44" spans="1:28" s="28" customFormat="1" ht="13.9" customHeight="1" x14ac:dyDescent="0.2">
      <c r="A44" s="89" t="s">
        <v>113</v>
      </c>
      <c r="B44" s="52"/>
      <c r="C44" s="52"/>
      <c r="D44" s="52"/>
      <c r="E44" s="52"/>
      <c r="F44" s="52"/>
      <c r="G44" s="52"/>
      <c r="H44" s="52"/>
      <c r="I44" s="100" t="s">
        <v>114</v>
      </c>
      <c r="J44" s="75" t="s">
        <v>79</v>
      </c>
      <c r="K44" s="52">
        <v>10</v>
      </c>
      <c r="L44" s="101">
        <v>5</v>
      </c>
      <c r="M44" s="175" t="s">
        <v>100</v>
      </c>
      <c r="N44" s="52" t="s">
        <v>116</v>
      </c>
      <c r="O44" s="52"/>
      <c r="P44" s="175" t="s">
        <v>103</v>
      </c>
      <c r="Q44" s="10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88"/>
    </row>
    <row r="45" spans="1:28" s="28" customFormat="1" ht="13.9" customHeight="1" x14ac:dyDescent="0.2">
      <c r="A45" s="89"/>
      <c r="B45" s="52"/>
      <c r="C45" s="52"/>
      <c r="D45" s="52"/>
      <c r="E45" s="52"/>
      <c r="F45" s="52"/>
      <c r="G45" s="52"/>
      <c r="H45" s="52"/>
      <c r="I45" s="52"/>
      <c r="J45" s="75"/>
      <c r="K45" s="183" t="s">
        <v>115</v>
      </c>
      <c r="L45" s="183"/>
      <c r="M45" s="175"/>
      <c r="N45" s="176">
        <v>384</v>
      </c>
      <c r="O45" s="176"/>
      <c r="P45" s="175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88"/>
    </row>
    <row r="46" spans="1:28" s="28" customFormat="1" ht="13.9" customHeight="1" x14ac:dyDescent="0.2">
      <c r="A46" s="89"/>
      <c r="B46" s="52"/>
      <c r="C46" s="52"/>
      <c r="D46" s="52"/>
      <c r="E46" s="52"/>
      <c r="F46" s="52"/>
      <c r="G46" s="52"/>
      <c r="H46" s="52"/>
      <c r="I46" s="52"/>
      <c r="J46" s="75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88"/>
    </row>
    <row r="47" spans="1:28" s="28" customFormat="1" ht="13.9" customHeight="1" x14ac:dyDescent="0.2">
      <c r="A47" s="89"/>
      <c r="B47" s="52"/>
      <c r="C47" s="52"/>
      <c r="D47" s="52"/>
      <c r="E47" s="52"/>
      <c r="F47" s="52"/>
      <c r="G47" s="52"/>
      <c r="H47" s="52"/>
      <c r="I47" s="52"/>
      <c r="J47" s="98">
        <v>4</v>
      </c>
      <c r="K47" s="174" t="s">
        <v>109</v>
      </c>
      <c r="L47" s="56" t="s">
        <v>117</v>
      </c>
      <c r="M47" s="56"/>
      <c r="N47" s="63" t="s">
        <v>114</v>
      </c>
      <c r="O47" s="55" t="s">
        <v>106</v>
      </c>
      <c r="P47" s="58" t="s">
        <v>115</v>
      </c>
      <c r="Q47" s="56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88"/>
    </row>
    <row r="48" spans="1:28" s="28" customFormat="1" ht="13.9" customHeight="1" x14ac:dyDescent="0.2">
      <c r="A48" s="89" t="s">
        <v>104</v>
      </c>
      <c r="B48" s="52"/>
      <c r="C48" s="52"/>
      <c r="D48" s="52"/>
      <c r="E48" s="52"/>
      <c r="F48" s="52"/>
      <c r="G48" s="52"/>
      <c r="H48" s="52"/>
      <c r="I48" s="52" t="s">
        <v>105</v>
      </c>
      <c r="J48" s="75" t="s">
        <v>79</v>
      </c>
      <c r="K48" s="174"/>
      <c r="L48" s="51"/>
      <c r="M48" s="51" t="s">
        <v>101</v>
      </c>
      <c r="N48" s="51" t="s">
        <v>106</v>
      </c>
      <c r="O48" s="51">
        <v>10</v>
      </c>
      <c r="P48" s="62">
        <v>5</v>
      </c>
      <c r="Q48" s="51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88"/>
    </row>
    <row r="49" spans="1:28" s="28" customFormat="1" ht="13.9" customHeight="1" x14ac:dyDescent="0.2">
      <c r="A49" s="89"/>
      <c r="B49" s="52"/>
      <c r="C49" s="52"/>
      <c r="D49" s="52"/>
      <c r="E49" s="52"/>
      <c r="F49" s="52"/>
      <c r="G49" s="52"/>
      <c r="H49" s="52"/>
      <c r="I49" s="52"/>
      <c r="J49" s="75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88"/>
    </row>
    <row r="50" spans="1:28" s="28" customFormat="1" ht="13.9" customHeight="1" x14ac:dyDescent="0.2">
      <c r="A50" s="89"/>
      <c r="B50" s="52"/>
      <c r="C50" s="52"/>
      <c r="D50" s="52"/>
      <c r="E50" s="52"/>
      <c r="F50" s="52"/>
      <c r="G50" s="52"/>
      <c r="H50" s="52"/>
      <c r="I50" s="52"/>
      <c r="J50" s="98">
        <v>4</v>
      </c>
      <c r="K50" s="174" t="s">
        <v>109</v>
      </c>
      <c r="L50" s="56" t="s">
        <v>117</v>
      </c>
      <c r="M50" s="56"/>
      <c r="N50" s="63">
        <f>K12</f>
        <v>10</v>
      </c>
      <c r="O50" s="55" t="s">
        <v>106</v>
      </c>
      <c r="P50" s="185">
        <f>K11</f>
        <v>210000</v>
      </c>
      <c r="Q50" s="185"/>
      <c r="R50" s="55" t="s">
        <v>106</v>
      </c>
      <c r="S50" s="184">
        <f>K24</f>
        <v>27.677091333977401</v>
      </c>
      <c r="T50" s="184"/>
      <c r="U50" s="52"/>
      <c r="V50" s="52"/>
      <c r="W50" s="52"/>
      <c r="X50" s="52"/>
      <c r="Y50" s="52"/>
      <c r="Z50" s="52"/>
      <c r="AA50" s="52"/>
      <c r="AB50" s="88"/>
    </row>
    <row r="51" spans="1:28" s="28" customFormat="1" ht="13.9" customHeight="1" x14ac:dyDescent="0.2">
      <c r="A51" s="89"/>
      <c r="B51" s="52"/>
      <c r="C51" s="52"/>
      <c r="D51" s="52"/>
      <c r="E51" s="52"/>
      <c r="F51" s="52"/>
      <c r="G51" s="52"/>
      <c r="H51" s="52"/>
      <c r="I51" s="52"/>
      <c r="J51" s="75" t="s">
        <v>79</v>
      </c>
      <c r="K51" s="174"/>
      <c r="L51" s="181">
        <f>K16</f>
        <v>53.362265655961629</v>
      </c>
      <c r="M51" s="181"/>
      <c r="N51" s="53" t="s">
        <v>106</v>
      </c>
      <c r="O51" s="51">
        <v>10</v>
      </c>
      <c r="P51" s="62">
        <v>5</v>
      </c>
      <c r="Q51" s="51"/>
      <c r="R51" s="51"/>
      <c r="S51" s="51"/>
      <c r="T51" s="51"/>
      <c r="U51" s="52"/>
      <c r="V51" s="52"/>
      <c r="W51" s="52"/>
      <c r="X51" s="52"/>
      <c r="Y51" s="52"/>
      <c r="Z51" s="52"/>
      <c r="AA51" s="52"/>
      <c r="AB51" s="88"/>
    </row>
    <row r="52" spans="1:28" s="28" customFormat="1" ht="13.9" customHeight="1" thickBot="1" x14ac:dyDescent="0.25">
      <c r="A52" s="89"/>
      <c r="B52" s="52"/>
      <c r="C52" s="52"/>
      <c r="D52" s="52"/>
      <c r="E52" s="52"/>
      <c r="F52" s="52"/>
      <c r="G52" s="52"/>
      <c r="H52" s="52"/>
      <c r="I52" s="52"/>
      <c r="J52" s="75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88"/>
    </row>
    <row r="53" spans="1:28" s="28" customFormat="1" ht="13.9" customHeight="1" thickTop="1" thickBot="1" x14ac:dyDescent="0.25">
      <c r="A53" s="89"/>
      <c r="B53" s="52"/>
      <c r="C53" s="52"/>
      <c r="D53" s="52"/>
      <c r="E53" s="52"/>
      <c r="F53" s="52"/>
      <c r="G53" s="52"/>
      <c r="H53" s="52"/>
      <c r="I53" s="64" t="s">
        <v>105</v>
      </c>
      <c r="J53" s="65" t="s">
        <v>79</v>
      </c>
      <c r="K53" s="182">
        <f>((384*K12*K11*K24)/(K16*10^5))^(1/4)</f>
        <v>8.0419094058693457</v>
      </c>
      <c r="L53" s="182"/>
      <c r="M53" s="66" t="s">
        <v>111</v>
      </c>
      <c r="N53" s="52"/>
      <c r="O53" s="90" t="s">
        <v>112</v>
      </c>
      <c r="P53" s="52"/>
      <c r="Q53" s="52"/>
      <c r="R53" s="52"/>
      <c r="S53" s="67">
        <v>2</v>
      </c>
      <c r="T53" s="52"/>
      <c r="U53" s="52"/>
      <c r="V53" s="52"/>
      <c r="W53" s="52"/>
      <c r="X53" s="52"/>
      <c r="Y53" s="52"/>
      <c r="Z53" s="52"/>
      <c r="AA53" s="52"/>
      <c r="AB53" s="88"/>
    </row>
    <row r="54" spans="1:28" s="28" customFormat="1" ht="13.9" customHeight="1" thickTop="1" x14ac:dyDescent="0.2">
      <c r="A54" s="89"/>
      <c r="B54" s="52"/>
      <c r="C54" s="52"/>
      <c r="D54" s="52"/>
      <c r="E54" s="52"/>
      <c r="F54" s="52"/>
      <c r="G54" s="52"/>
      <c r="H54" s="103"/>
      <c r="I54" s="70"/>
      <c r="J54" s="71"/>
      <c r="K54" s="72"/>
      <c r="L54" s="72"/>
      <c r="M54" s="73"/>
      <c r="N54" s="103"/>
      <c r="O54" s="104"/>
      <c r="P54" s="103"/>
      <c r="Q54" s="103"/>
      <c r="R54" s="103"/>
      <c r="S54" s="74"/>
      <c r="T54" s="103"/>
      <c r="U54" s="103"/>
      <c r="V54" s="103"/>
      <c r="W54" s="103"/>
      <c r="X54" s="52"/>
      <c r="Y54" s="52"/>
      <c r="Z54" s="52"/>
      <c r="AA54" s="52"/>
      <c r="AB54" s="88"/>
    </row>
    <row r="55" spans="1:28" s="28" customFormat="1" ht="13.9" customHeight="1" thickBot="1" x14ac:dyDescent="0.25">
      <c r="A55" s="89"/>
      <c r="B55" s="52"/>
      <c r="C55" s="52"/>
      <c r="D55" s="52"/>
      <c r="E55" s="52"/>
      <c r="F55" s="52"/>
      <c r="G55" s="52"/>
      <c r="H55" s="52"/>
      <c r="I55" s="52"/>
      <c r="J55" s="75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88"/>
    </row>
    <row r="56" spans="1:28" s="28" customFormat="1" ht="13.9" customHeight="1" thickTop="1" thickBot="1" x14ac:dyDescent="0.25">
      <c r="A56" s="89" t="s">
        <v>104</v>
      </c>
      <c r="B56" s="52"/>
      <c r="C56" s="52"/>
      <c r="D56" s="52"/>
      <c r="E56" s="52"/>
      <c r="F56" s="52"/>
      <c r="G56" s="52"/>
      <c r="H56" s="52"/>
      <c r="I56" s="52" t="s">
        <v>105</v>
      </c>
      <c r="J56" s="75" t="s">
        <v>79</v>
      </c>
      <c r="K56" s="52" t="s">
        <v>118</v>
      </c>
      <c r="L56" s="52"/>
      <c r="M56" s="67">
        <v>1</v>
      </c>
      <c r="N56" s="177" t="s">
        <v>119</v>
      </c>
      <c r="O56" s="178"/>
      <c r="P56" s="67">
        <v>2</v>
      </c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88"/>
    </row>
    <row r="57" spans="1:28" s="28" customFormat="1" ht="13.9" customHeight="1" thickTop="1" thickBot="1" x14ac:dyDescent="0.25">
      <c r="A57" s="89"/>
      <c r="B57" s="52"/>
      <c r="C57" s="52"/>
      <c r="D57" s="52"/>
      <c r="E57" s="52"/>
      <c r="F57" s="52"/>
      <c r="G57" s="52"/>
      <c r="H57" s="52"/>
      <c r="I57" s="52"/>
      <c r="J57" s="75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88"/>
    </row>
    <row r="58" spans="1:28" s="28" customFormat="1" ht="13.9" customHeight="1" thickTop="1" thickBot="1" x14ac:dyDescent="0.25">
      <c r="A58" s="89"/>
      <c r="B58" s="52"/>
      <c r="C58" s="52"/>
      <c r="D58" s="52"/>
      <c r="E58" s="52"/>
      <c r="F58" s="52"/>
      <c r="G58" s="52"/>
      <c r="H58" s="52"/>
      <c r="I58" s="59" t="s">
        <v>105</v>
      </c>
      <c r="J58" s="60" t="s">
        <v>79</v>
      </c>
      <c r="K58" s="179">
        <f>MIN(K53,K40)</f>
        <v>8.0419094058693457</v>
      </c>
      <c r="L58" s="179"/>
      <c r="M58" s="61" t="s">
        <v>111</v>
      </c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88"/>
    </row>
    <row r="59" spans="1:28" s="28" customFormat="1" ht="13.9" customHeight="1" thickTop="1" x14ac:dyDescent="0.2">
      <c r="A59" s="89"/>
      <c r="B59" s="52"/>
      <c r="C59" s="52"/>
      <c r="D59" s="52"/>
      <c r="E59" s="52"/>
      <c r="F59" s="52"/>
      <c r="G59" s="52"/>
      <c r="H59" s="52"/>
      <c r="I59" s="52"/>
      <c r="J59" s="75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88"/>
    </row>
    <row r="60" spans="1:28" s="28" customFormat="1" ht="13.9" customHeight="1" x14ac:dyDescent="0.2">
      <c r="A60" s="89"/>
      <c r="B60" s="52"/>
      <c r="C60" s="52"/>
      <c r="D60" s="52"/>
      <c r="E60" s="52"/>
      <c r="F60" s="52"/>
      <c r="G60" s="52"/>
      <c r="H60" s="52"/>
      <c r="I60" s="52"/>
      <c r="J60" s="75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88"/>
    </row>
    <row r="61" spans="1:28" s="28" customFormat="1" ht="13.9" customHeight="1" x14ac:dyDescent="0.2">
      <c r="A61" s="105" t="s">
        <v>134</v>
      </c>
      <c r="B61" s="52"/>
      <c r="C61" s="52"/>
      <c r="D61" s="52"/>
      <c r="E61" s="52"/>
      <c r="F61" s="52"/>
      <c r="G61" s="52"/>
      <c r="H61" s="52"/>
      <c r="I61" s="52"/>
      <c r="J61" s="75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88"/>
    </row>
    <row r="62" spans="1:28" s="28" customFormat="1" ht="13.9" customHeight="1" x14ac:dyDescent="0.2">
      <c r="A62" s="89"/>
      <c r="B62" s="52"/>
      <c r="C62" s="52"/>
      <c r="D62" s="52"/>
      <c r="E62" s="52"/>
      <c r="F62" s="52"/>
      <c r="G62" s="52"/>
      <c r="H62" s="52"/>
      <c r="I62" s="52"/>
      <c r="J62" s="75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88"/>
    </row>
    <row r="63" spans="1:28" s="28" customFormat="1" ht="13.9" customHeight="1" x14ac:dyDescent="0.2">
      <c r="A63" s="89"/>
      <c r="B63" s="52"/>
      <c r="C63" s="52"/>
      <c r="D63" s="52"/>
      <c r="E63" s="52"/>
      <c r="F63" s="52"/>
      <c r="G63" s="52"/>
      <c r="H63" s="52"/>
      <c r="I63" s="52"/>
      <c r="J63" s="75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88"/>
    </row>
    <row r="64" spans="1:28" s="28" customFormat="1" ht="13.9" customHeight="1" x14ac:dyDescent="0.2">
      <c r="A64" s="89"/>
      <c r="B64" s="52"/>
      <c r="C64" s="52"/>
      <c r="D64" s="52"/>
      <c r="E64" s="52"/>
      <c r="F64" s="52"/>
      <c r="G64" s="52"/>
      <c r="H64" s="52"/>
      <c r="I64" s="52"/>
      <c r="J64" s="75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88"/>
    </row>
    <row r="65" spans="1:28" s="28" customFormat="1" ht="13.9" customHeight="1" x14ac:dyDescent="0.2">
      <c r="A65" s="89"/>
      <c r="B65" s="52"/>
      <c r="C65" s="52"/>
      <c r="D65" s="52"/>
      <c r="E65" s="52"/>
      <c r="F65" s="52"/>
      <c r="G65" s="52"/>
      <c r="H65" s="52"/>
      <c r="I65" s="52"/>
      <c r="J65" s="75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88"/>
    </row>
    <row r="66" spans="1:28" s="28" customFormat="1" ht="13.9" customHeight="1" x14ac:dyDescent="0.2">
      <c r="A66" s="89"/>
      <c r="B66" s="52"/>
      <c r="C66" s="52"/>
      <c r="D66" s="52"/>
      <c r="E66" s="52"/>
      <c r="F66" s="52"/>
      <c r="G66" s="52"/>
      <c r="H66" s="52"/>
      <c r="I66" s="52"/>
      <c r="J66" s="75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88"/>
    </row>
    <row r="67" spans="1:28" s="28" customFormat="1" ht="13.9" customHeight="1" x14ac:dyDescent="0.2">
      <c r="A67" s="89"/>
      <c r="B67" s="52"/>
      <c r="C67" s="52"/>
      <c r="D67" s="52"/>
      <c r="E67" s="52"/>
      <c r="F67" s="52"/>
      <c r="G67" s="52"/>
      <c r="H67" s="52"/>
      <c r="I67" s="52"/>
      <c r="J67" s="75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88"/>
    </row>
    <row r="68" spans="1:28" s="28" customFormat="1" ht="13.9" customHeight="1" x14ac:dyDescent="0.2">
      <c r="A68" s="89"/>
      <c r="B68" s="52"/>
      <c r="C68" s="52"/>
      <c r="D68" s="52"/>
      <c r="E68" s="52"/>
      <c r="F68" s="52"/>
      <c r="G68" s="52"/>
      <c r="H68" s="52"/>
      <c r="I68" s="52"/>
      <c r="J68" s="75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88"/>
    </row>
    <row r="69" spans="1:28" s="28" customFormat="1" ht="13.9" customHeight="1" x14ac:dyDescent="0.2">
      <c r="A69" s="89"/>
      <c r="B69" s="52"/>
      <c r="C69" s="52"/>
      <c r="D69" s="52"/>
      <c r="E69" s="52"/>
      <c r="F69" s="52"/>
      <c r="G69" s="52"/>
      <c r="H69" s="52"/>
      <c r="I69" s="52"/>
      <c r="J69" s="75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88"/>
    </row>
    <row r="70" spans="1:28" s="28" customFormat="1" ht="13.9" customHeight="1" x14ac:dyDescent="0.2">
      <c r="A70" s="89"/>
      <c r="B70" s="52"/>
      <c r="C70" s="52"/>
      <c r="D70" s="52"/>
      <c r="E70" s="52"/>
      <c r="F70" s="52"/>
      <c r="G70" s="52"/>
      <c r="H70" s="52"/>
      <c r="I70" s="52"/>
      <c r="J70" s="75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88"/>
    </row>
    <row r="71" spans="1:28" s="28" customFormat="1" ht="13.9" customHeight="1" x14ac:dyDescent="0.2">
      <c r="A71" s="89"/>
      <c r="B71" s="52"/>
      <c r="C71" s="52"/>
      <c r="D71" s="52"/>
      <c r="E71" s="52"/>
      <c r="F71" s="52"/>
      <c r="G71" s="52"/>
      <c r="H71" s="52"/>
      <c r="I71" s="52"/>
      <c r="J71" s="75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88"/>
    </row>
    <row r="72" spans="1:28" s="28" customFormat="1" ht="13.9" customHeight="1" x14ac:dyDescent="0.2">
      <c r="A72" s="89"/>
      <c r="B72" s="52"/>
      <c r="C72" s="52"/>
      <c r="D72" s="52"/>
      <c r="E72" s="52"/>
      <c r="F72" s="52"/>
      <c r="G72" s="52"/>
      <c r="H72" s="52"/>
      <c r="I72" s="52"/>
      <c r="J72" s="75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88"/>
    </row>
    <row r="73" spans="1:28" s="68" customFormat="1" ht="25.15" customHeight="1" x14ac:dyDescent="0.2">
      <c r="A73" s="105" t="s">
        <v>121</v>
      </c>
      <c r="B73" s="106"/>
      <c r="C73" s="106"/>
      <c r="D73" s="106"/>
      <c r="E73" s="106"/>
      <c r="F73" s="106"/>
      <c r="G73" s="106"/>
      <c r="H73" s="106"/>
      <c r="I73" s="106"/>
      <c r="J73" s="107"/>
      <c r="K73" s="106"/>
      <c r="L73" s="106"/>
      <c r="M73" s="108"/>
      <c r="N73" s="106"/>
      <c r="O73" s="109">
        <v>7.9</v>
      </c>
      <c r="P73" s="110" t="s">
        <v>135</v>
      </c>
      <c r="Q73" s="111">
        <f>K58</f>
        <v>8.0419094058693457</v>
      </c>
      <c r="R73" s="108"/>
      <c r="S73" s="106" t="s">
        <v>122</v>
      </c>
      <c r="T73" s="106"/>
      <c r="U73" s="108"/>
      <c r="V73" s="106"/>
      <c r="W73" s="106"/>
      <c r="X73" s="108"/>
      <c r="Y73" s="108"/>
      <c r="Z73" s="108"/>
      <c r="AA73" s="108"/>
      <c r="AB73" s="112"/>
    </row>
    <row r="74" spans="1:28" s="28" customFormat="1" ht="13.9" customHeight="1" x14ac:dyDescent="0.2">
      <c r="A74" s="89"/>
      <c r="B74" s="52"/>
      <c r="C74" s="52"/>
      <c r="D74" s="52"/>
      <c r="E74" s="52"/>
      <c r="F74" s="52"/>
      <c r="G74" s="52"/>
      <c r="H74" s="52"/>
      <c r="I74" s="52"/>
      <c r="J74" s="75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88"/>
    </row>
    <row r="75" spans="1:28" s="28" customFormat="1" ht="13.9" customHeight="1" x14ac:dyDescent="0.2">
      <c r="A75" s="89"/>
      <c r="B75" s="52"/>
      <c r="C75" s="52"/>
      <c r="D75" s="52"/>
      <c r="E75" s="52"/>
      <c r="F75" s="52"/>
      <c r="G75" s="52"/>
      <c r="H75" s="52"/>
      <c r="I75" s="52"/>
      <c r="J75" s="75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88"/>
    </row>
    <row r="76" spans="1:28" s="28" customFormat="1" ht="13.9" customHeight="1" x14ac:dyDescent="0.2">
      <c r="A76" s="89"/>
      <c r="B76" s="52"/>
      <c r="C76" s="52"/>
      <c r="D76" s="52"/>
      <c r="E76" s="52"/>
      <c r="F76" s="52"/>
      <c r="G76" s="52"/>
      <c r="H76" s="52"/>
      <c r="I76" s="52"/>
      <c r="J76" s="75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88"/>
    </row>
    <row r="77" spans="1:28" s="28" customFormat="1" ht="13.9" customHeight="1" x14ac:dyDescent="0.2">
      <c r="A77" s="89"/>
      <c r="B77" s="52"/>
      <c r="C77" s="52"/>
      <c r="D77" s="52"/>
      <c r="E77" s="52"/>
      <c r="F77" s="52"/>
      <c r="G77" s="52"/>
      <c r="H77" s="52"/>
      <c r="I77" s="52"/>
      <c r="J77" s="75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88"/>
    </row>
    <row r="78" spans="1:28" s="28" customFormat="1" ht="13.9" customHeight="1" x14ac:dyDescent="0.2">
      <c r="A78" s="89"/>
      <c r="B78" s="52"/>
      <c r="C78" s="52"/>
      <c r="D78" s="52"/>
      <c r="E78" s="52"/>
      <c r="F78" s="52"/>
      <c r="G78" s="52"/>
      <c r="H78" s="52"/>
      <c r="I78" s="52"/>
      <c r="J78" s="75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88"/>
    </row>
    <row r="79" spans="1:28" s="28" customFormat="1" ht="13.9" customHeight="1" x14ac:dyDescent="0.2">
      <c r="A79" s="89"/>
      <c r="B79" s="52"/>
      <c r="C79" s="52"/>
      <c r="D79" s="52"/>
      <c r="E79" s="52"/>
      <c r="F79" s="52"/>
      <c r="G79" s="52"/>
      <c r="H79" s="52"/>
      <c r="I79" s="52"/>
      <c r="J79" s="75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88"/>
    </row>
    <row r="80" spans="1:28" s="28" customFormat="1" ht="13.9" customHeight="1" x14ac:dyDescent="0.2">
      <c r="A80" s="89"/>
      <c r="B80" s="52"/>
      <c r="C80" s="52"/>
      <c r="D80" s="52"/>
      <c r="E80" s="52"/>
      <c r="F80" s="52"/>
      <c r="G80" s="52"/>
      <c r="H80" s="52"/>
      <c r="I80" s="52"/>
      <c r="J80" s="75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88"/>
    </row>
    <row r="81" spans="1:28" s="28" customFormat="1" ht="13.9" customHeight="1" x14ac:dyDescent="0.2">
      <c r="A81" s="89"/>
      <c r="B81" s="52"/>
      <c r="C81" s="52"/>
      <c r="D81" s="52"/>
      <c r="E81" s="52"/>
      <c r="F81" s="52"/>
      <c r="G81" s="52"/>
      <c r="H81" s="52"/>
      <c r="I81" s="52"/>
      <c r="J81" s="75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88"/>
    </row>
    <row r="82" spans="1:28" s="28" customFormat="1" ht="13.9" customHeight="1" x14ac:dyDescent="0.2">
      <c r="A82" s="89"/>
      <c r="B82" s="52"/>
      <c r="C82" s="52"/>
      <c r="D82" s="52"/>
      <c r="E82" s="52"/>
      <c r="F82" s="52"/>
      <c r="G82" s="52"/>
      <c r="H82" s="52"/>
      <c r="I82" s="52"/>
      <c r="J82" s="75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88"/>
    </row>
    <row r="83" spans="1:28" s="28" customFormat="1" ht="13.9" customHeight="1" x14ac:dyDescent="0.2">
      <c r="A83" s="89"/>
      <c r="B83" s="52"/>
      <c r="C83" s="52"/>
      <c r="D83" s="52"/>
      <c r="E83" s="52"/>
      <c r="F83" s="52"/>
      <c r="G83" s="52"/>
      <c r="H83" s="52"/>
      <c r="I83" s="52"/>
      <c r="J83" s="75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88"/>
    </row>
    <row r="84" spans="1:28" s="28" customFormat="1" ht="13.9" customHeight="1" x14ac:dyDescent="0.2">
      <c r="A84" s="89"/>
      <c r="B84" s="52"/>
      <c r="C84" s="52"/>
      <c r="D84" s="52"/>
      <c r="E84" s="52"/>
      <c r="F84" s="52"/>
      <c r="G84" s="52"/>
      <c r="H84" s="52"/>
      <c r="I84" s="52"/>
      <c r="J84" s="75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88"/>
    </row>
    <row r="85" spans="1:28" s="28" customFormat="1" ht="13.9" customHeight="1" x14ac:dyDescent="0.2">
      <c r="A85" s="89"/>
      <c r="B85" s="52"/>
      <c r="C85" s="52"/>
      <c r="D85" s="52"/>
      <c r="E85" s="52"/>
      <c r="F85" s="52"/>
      <c r="G85" s="52"/>
      <c r="H85" s="52"/>
      <c r="I85" s="52"/>
      <c r="J85" s="75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88"/>
    </row>
    <row r="86" spans="1:28" s="28" customFormat="1" ht="13.9" customHeight="1" x14ac:dyDescent="0.2">
      <c r="A86" s="89"/>
      <c r="B86" s="52"/>
      <c r="C86" s="52"/>
      <c r="D86" s="52"/>
      <c r="E86" s="52"/>
      <c r="F86" s="52"/>
      <c r="G86" s="52"/>
      <c r="H86" s="52"/>
      <c r="I86" s="52"/>
      <c r="J86" s="75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88"/>
    </row>
    <row r="87" spans="1:28" s="28" customFormat="1" ht="13.9" customHeight="1" x14ac:dyDescent="0.2">
      <c r="A87" s="89"/>
      <c r="B87" s="52"/>
      <c r="C87" s="52"/>
      <c r="D87" s="52"/>
      <c r="E87" s="52"/>
      <c r="F87" s="52"/>
      <c r="G87" s="52"/>
      <c r="H87" s="52"/>
      <c r="I87" s="52"/>
      <c r="J87" s="75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88"/>
    </row>
    <row r="88" spans="1:28" s="28" customFormat="1" ht="13.9" customHeight="1" x14ac:dyDescent="0.2">
      <c r="A88" s="89"/>
      <c r="B88" s="52"/>
      <c r="C88" s="52"/>
      <c r="D88" s="52"/>
      <c r="E88" s="52"/>
      <c r="F88" s="52"/>
      <c r="G88" s="52"/>
      <c r="H88" s="52"/>
      <c r="I88" s="52"/>
      <c r="J88" s="75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88"/>
    </row>
    <row r="89" spans="1:28" s="28" customFormat="1" ht="13.9" customHeight="1" x14ac:dyDescent="0.2">
      <c r="A89" s="89"/>
      <c r="B89" s="52"/>
      <c r="C89" s="52"/>
      <c r="D89" s="52"/>
      <c r="E89" s="52"/>
      <c r="F89" s="52"/>
      <c r="G89" s="52"/>
      <c r="H89" s="52"/>
      <c r="I89" s="52"/>
      <c r="J89" s="75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88"/>
    </row>
    <row r="90" spans="1:28" s="28" customFormat="1" ht="13.9" customHeight="1" x14ac:dyDescent="0.2">
      <c r="A90" s="89"/>
      <c r="B90" s="52"/>
      <c r="C90" s="52"/>
      <c r="D90" s="52"/>
      <c r="E90" s="52"/>
      <c r="F90" s="52"/>
      <c r="G90" s="52"/>
      <c r="H90" s="52"/>
      <c r="I90" s="52"/>
      <c r="J90" s="75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88"/>
    </row>
    <row r="91" spans="1:28" s="28" customFormat="1" ht="13.9" customHeight="1" x14ac:dyDescent="0.2">
      <c r="A91" s="89"/>
      <c r="B91" s="52"/>
      <c r="C91" s="52"/>
      <c r="D91" s="52"/>
      <c r="E91" s="52"/>
      <c r="F91" s="52"/>
      <c r="G91" s="52"/>
      <c r="H91" s="52"/>
      <c r="I91" s="52"/>
      <c r="J91" s="75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88"/>
    </row>
    <row r="92" spans="1:28" s="28" customFormat="1" ht="13.9" customHeight="1" x14ac:dyDescent="0.2">
      <c r="A92" s="89"/>
      <c r="B92" s="52"/>
      <c r="C92" s="52"/>
      <c r="D92" s="52"/>
      <c r="E92" s="52"/>
      <c r="F92" s="52"/>
      <c r="G92" s="52"/>
      <c r="H92" s="52"/>
      <c r="I92" s="52"/>
      <c r="J92" s="75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88"/>
    </row>
    <row r="93" spans="1:28" s="28" customFormat="1" ht="13.9" customHeight="1" x14ac:dyDescent="0.2">
      <c r="A93" s="89"/>
      <c r="B93" s="52"/>
      <c r="C93" s="52"/>
      <c r="D93" s="52"/>
      <c r="E93" s="52"/>
      <c r="F93" s="52"/>
      <c r="G93" s="52"/>
      <c r="H93" s="52"/>
      <c r="I93" s="52"/>
      <c r="J93" s="75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88"/>
    </row>
    <row r="94" spans="1:28" s="28" customFormat="1" ht="13.9" customHeight="1" x14ac:dyDescent="0.2">
      <c r="A94" s="89"/>
      <c r="B94" s="52"/>
      <c r="C94" s="52"/>
      <c r="D94" s="52"/>
      <c r="E94" s="52"/>
      <c r="F94" s="52"/>
      <c r="G94" s="52"/>
      <c r="H94" s="52"/>
      <c r="I94" s="52"/>
      <c r="J94" s="75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88"/>
    </row>
    <row r="95" spans="1:28" s="28" customFormat="1" ht="13.9" customHeight="1" x14ac:dyDescent="0.2">
      <c r="A95" s="89"/>
      <c r="B95" s="52"/>
      <c r="C95" s="52"/>
      <c r="D95" s="52"/>
      <c r="E95" s="52"/>
      <c r="F95" s="52"/>
      <c r="G95" s="52"/>
      <c r="H95" s="52"/>
      <c r="I95" s="52"/>
      <c r="J95" s="75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88"/>
    </row>
    <row r="96" spans="1:28" s="28" customFormat="1" ht="13.9" customHeight="1" x14ac:dyDescent="0.2">
      <c r="A96" s="89"/>
      <c r="B96" s="52"/>
      <c r="C96" s="52"/>
      <c r="D96" s="52"/>
      <c r="E96" s="52"/>
      <c r="F96" s="52"/>
      <c r="G96" s="52"/>
      <c r="H96" s="52"/>
      <c r="I96" s="52"/>
      <c r="J96" s="75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88"/>
    </row>
    <row r="97" spans="1:28" s="28" customFormat="1" ht="13.9" customHeight="1" x14ac:dyDescent="0.2">
      <c r="A97" s="89"/>
      <c r="B97" s="52"/>
      <c r="C97" s="52"/>
      <c r="D97" s="52"/>
      <c r="E97" s="52"/>
      <c r="F97" s="52"/>
      <c r="G97" s="52"/>
      <c r="H97" s="52"/>
      <c r="I97" s="52"/>
      <c r="J97" s="75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88"/>
    </row>
    <row r="98" spans="1:28" s="28" customFormat="1" ht="13.9" customHeight="1" x14ac:dyDescent="0.2">
      <c r="A98" s="89"/>
      <c r="B98" s="52"/>
      <c r="C98" s="52"/>
      <c r="D98" s="52"/>
      <c r="E98" s="52"/>
      <c r="F98" s="52"/>
      <c r="G98" s="52"/>
      <c r="H98" s="52"/>
      <c r="I98" s="52"/>
      <c r="J98" s="75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88"/>
    </row>
    <row r="99" spans="1:28" s="28" customFormat="1" ht="13.9" customHeight="1" x14ac:dyDescent="0.2">
      <c r="A99" s="89"/>
      <c r="B99" s="52"/>
      <c r="C99" s="52"/>
      <c r="D99" s="52"/>
      <c r="E99" s="52"/>
      <c r="F99" s="52"/>
      <c r="G99" s="52"/>
      <c r="H99" s="52"/>
      <c r="I99" s="52"/>
      <c r="J99" s="75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88"/>
    </row>
    <row r="100" spans="1:28" s="28" customFormat="1" ht="13.9" customHeight="1" x14ac:dyDescent="0.2">
      <c r="A100" s="89"/>
      <c r="B100" s="52"/>
      <c r="C100" s="52"/>
      <c r="D100" s="52"/>
      <c r="E100" s="52"/>
      <c r="F100" s="52"/>
      <c r="G100" s="52"/>
      <c r="H100" s="52"/>
      <c r="I100" s="52"/>
      <c r="J100" s="75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88"/>
    </row>
    <row r="101" spans="1:28" s="28" customFormat="1" ht="13.9" customHeight="1" x14ac:dyDescent="0.2">
      <c r="A101" s="89"/>
      <c r="B101" s="52"/>
      <c r="C101" s="52"/>
      <c r="D101" s="52"/>
      <c r="E101" s="52"/>
      <c r="F101" s="52"/>
      <c r="G101" s="52"/>
      <c r="H101" s="52"/>
      <c r="I101" s="52"/>
      <c r="J101" s="75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88"/>
    </row>
    <row r="102" spans="1:28" s="28" customFormat="1" ht="13.9" customHeight="1" x14ac:dyDescent="0.2">
      <c r="A102" s="89"/>
      <c r="B102" s="52"/>
      <c r="C102" s="52"/>
      <c r="D102" s="52"/>
      <c r="E102" s="52"/>
      <c r="F102" s="52"/>
      <c r="G102" s="52"/>
      <c r="H102" s="52"/>
      <c r="I102" s="52"/>
      <c r="J102" s="75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88"/>
    </row>
    <row r="103" spans="1:28" s="28" customFormat="1" ht="13.9" customHeight="1" x14ac:dyDescent="0.2">
      <c r="A103" s="89"/>
      <c r="B103" s="52"/>
      <c r="C103" s="52"/>
      <c r="D103" s="52"/>
      <c r="E103" s="52"/>
      <c r="F103" s="52"/>
      <c r="G103" s="52"/>
      <c r="H103" s="52"/>
      <c r="I103" s="52"/>
      <c r="J103" s="75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88"/>
    </row>
    <row r="104" spans="1:28" s="28" customFormat="1" ht="13.9" customHeight="1" x14ac:dyDescent="0.2">
      <c r="A104" s="89"/>
      <c r="B104" s="52"/>
      <c r="C104" s="52"/>
      <c r="D104" s="52"/>
      <c r="E104" s="52"/>
      <c r="F104" s="52"/>
      <c r="G104" s="52"/>
      <c r="H104" s="52"/>
      <c r="I104" s="52"/>
      <c r="J104" s="75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88"/>
    </row>
    <row r="105" spans="1:28" s="28" customFormat="1" ht="13.9" customHeight="1" x14ac:dyDescent="0.2">
      <c r="A105" s="89"/>
      <c r="B105" s="52"/>
      <c r="C105" s="52"/>
      <c r="D105" s="52"/>
      <c r="E105" s="52"/>
      <c r="F105" s="52"/>
      <c r="G105" s="52"/>
      <c r="H105" s="52"/>
      <c r="I105" s="52"/>
      <c r="J105" s="75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88"/>
    </row>
    <row r="106" spans="1:28" s="28" customFormat="1" ht="13.9" customHeight="1" x14ac:dyDescent="0.2">
      <c r="A106" s="89"/>
      <c r="B106" s="52"/>
      <c r="C106" s="52"/>
      <c r="D106" s="52"/>
      <c r="E106" s="52"/>
      <c r="F106" s="52"/>
      <c r="G106" s="52"/>
      <c r="H106" s="52"/>
      <c r="I106" s="52"/>
      <c r="J106" s="75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88"/>
    </row>
    <row r="107" spans="1:28" s="28" customFormat="1" ht="13.9" customHeight="1" x14ac:dyDescent="0.2">
      <c r="A107" s="113"/>
      <c r="B107" s="114"/>
      <c r="C107" s="114"/>
      <c r="D107" s="114"/>
      <c r="E107" s="114"/>
      <c r="F107" s="114"/>
      <c r="G107" s="114"/>
      <c r="H107" s="114"/>
      <c r="I107" s="114"/>
      <c r="J107" s="115"/>
      <c r="K107" s="114"/>
      <c r="L107" s="114"/>
      <c r="M107" s="114"/>
      <c r="N107" s="114"/>
      <c r="O107" s="114"/>
      <c r="P107" s="114"/>
      <c r="Q107" s="114"/>
      <c r="R107" s="114"/>
      <c r="S107" s="114"/>
      <c r="T107" s="114"/>
      <c r="U107" s="114"/>
      <c r="V107" s="114"/>
      <c r="W107" s="114"/>
      <c r="X107" s="114"/>
      <c r="Y107" s="114"/>
      <c r="Z107" s="114"/>
      <c r="AA107" s="114"/>
      <c r="AB107" s="116"/>
    </row>
    <row r="108" spans="1:28" s="28" customFormat="1" ht="13.9" customHeight="1" x14ac:dyDescent="0.2">
      <c r="J108" s="2"/>
    </row>
    <row r="109" spans="1:28" s="28" customFormat="1" ht="13.9" customHeight="1" x14ac:dyDescent="0.2">
      <c r="J109" s="2"/>
    </row>
    <row r="110" spans="1:28" s="28" customFormat="1" ht="13.9" customHeight="1" x14ac:dyDescent="0.2">
      <c r="J110" s="2"/>
    </row>
    <row r="111" spans="1:28" s="28" customFormat="1" ht="13.9" customHeight="1" x14ac:dyDescent="0.2">
      <c r="J111" s="2"/>
    </row>
    <row r="112" spans="1:28" s="28" customFormat="1" ht="13.9" customHeight="1" x14ac:dyDescent="0.2">
      <c r="J112" s="2"/>
    </row>
    <row r="113" spans="10:10" s="28" customFormat="1" ht="13.9" customHeight="1" x14ac:dyDescent="0.2">
      <c r="J113" s="2"/>
    </row>
    <row r="114" spans="10:10" s="28" customFormat="1" ht="13.9" customHeight="1" x14ac:dyDescent="0.2">
      <c r="J114" s="2"/>
    </row>
    <row r="115" spans="10:10" s="28" customFormat="1" ht="13.9" customHeight="1" x14ac:dyDescent="0.2">
      <c r="J115" s="2"/>
    </row>
    <row r="116" spans="10:10" s="28" customFormat="1" ht="13.9" customHeight="1" x14ac:dyDescent="0.2">
      <c r="J116" s="2"/>
    </row>
    <row r="117" spans="10:10" s="28" customFormat="1" ht="13.9" customHeight="1" x14ac:dyDescent="0.2">
      <c r="J117" s="2"/>
    </row>
    <row r="118" spans="10:10" s="28" customFormat="1" ht="13.9" customHeight="1" x14ac:dyDescent="0.2">
      <c r="J118" s="2"/>
    </row>
    <row r="119" spans="10:10" s="28" customFormat="1" ht="13.9" customHeight="1" x14ac:dyDescent="0.2">
      <c r="J119" s="2"/>
    </row>
    <row r="120" spans="10:10" s="28" customFormat="1" ht="13.9" customHeight="1" x14ac:dyDescent="0.2">
      <c r="J120" s="2"/>
    </row>
    <row r="121" spans="10:10" s="28" customFormat="1" ht="13.9" customHeight="1" x14ac:dyDescent="0.2">
      <c r="J121" s="2"/>
    </row>
    <row r="122" spans="10:10" s="28" customFormat="1" ht="13.9" customHeight="1" x14ac:dyDescent="0.2">
      <c r="J122" s="2"/>
    </row>
    <row r="123" spans="10:10" s="28" customFormat="1" ht="13.9" customHeight="1" x14ac:dyDescent="0.2">
      <c r="J123" s="2"/>
    </row>
    <row r="124" spans="10:10" s="28" customFormat="1" ht="13.9" customHeight="1" x14ac:dyDescent="0.2">
      <c r="J124" s="2"/>
    </row>
    <row r="125" spans="10:10" s="28" customFormat="1" ht="13.9" customHeight="1" x14ac:dyDescent="0.2">
      <c r="J125" s="2"/>
    </row>
    <row r="126" spans="10:10" s="28" customFormat="1" ht="13.9" customHeight="1" x14ac:dyDescent="0.2">
      <c r="J126" s="2"/>
    </row>
    <row r="127" spans="10:10" s="28" customFormat="1" ht="13.9" customHeight="1" x14ac:dyDescent="0.2">
      <c r="J127" s="2"/>
    </row>
    <row r="128" spans="10:10" s="28" customFormat="1" ht="13.9" customHeight="1" x14ac:dyDescent="0.2">
      <c r="J128" s="2"/>
    </row>
    <row r="129" spans="10:10" s="28" customFormat="1" ht="13.9" customHeight="1" x14ac:dyDescent="0.2">
      <c r="J129" s="2"/>
    </row>
    <row r="130" spans="10:10" s="28" customFormat="1" ht="13.9" customHeight="1" x14ac:dyDescent="0.2">
      <c r="J130" s="2"/>
    </row>
    <row r="131" spans="10:10" s="28" customFormat="1" ht="13.9" customHeight="1" x14ac:dyDescent="0.2">
      <c r="J131" s="2"/>
    </row>
    <row r="132" spans="10:10" s="28" customFormat="1" ht="13.9" customHeight="1" x14ac:dyDescent="0.2">
      <c r="J132" s="2"/>
    </row>
    <row r="133" spans="10:10" s="28" customFormat="1" ht="13.9" customHeight="1" x14ac:dyDescent="0.2">
      <c r="J133" s="2"/>
    </row>
    <row r="134" spans="10:10" s="28" customFormat="1" ht="13.9" customHeight="1" x14ac:dyDescent="0.2">
      <c r="J134" s="2"/>
    </row>
    <row r="135" spans="10:10" s="28" customFormat="1" ht="13.9" customHeight="1" x14ac:dyDescent="0.2">
      <c r="J135" s="2"/>
    </row>
    <row r="136" spans="10:10" s="28" customFormat="1" ht="13.9" customHeight="1" x14ac:dyDescent="0.2">
      <c r="J136" s="2"/>
    </row>
    <row r="137" spans="10:10" s="28" customFormat="1" ht="13.9" customHeight="1" x14ac:dyDescent="0.2">
      <c r="J137" s="2"/>
    </row>
    <row r="138" spans="10:10" s="28" customFormat="1" ht="13.9" customHeight="1" x14ac:dyDescent="0.2">
      <c r="J138" s="2"/>
    </row>
    <row r="139" spans="10:10" s="28" customFormat="1" ht="13.9" customHeight="1" x14ac:dyDescent="0.2">
      <c r="J139" s="2"/>
    </row>
    <row r="140" spans="10:10" s="28" customFormat="1" ht="13.9" customHeight="1" x14ac:dyDescent="0.2">
      <c r="J140" s="2"/>
    </row>
    <row r="141" spans="10:10" s="28" customFormat="1" ht="13.9" customHeight="1" x14ac:dyDescent="0.2">
      <c r="J141" s="2"/>
    </row>
    <row r="142" spans="10:10" s="28" customFormat="1" ht="13.9" customHeight="1" x14ac:dyDescent="0.2">
      <c r="J142" s="2"/>
    </row>
    <row r="143" spans="10:10" s="28" customFormat="1" ht="13.9" customHeight="1" x14ac:dyDescent="0.2">
      <c r="J143" s="2"/>
    </row>
    <row r="144" spans="10:10" s="28" customFormat="1" ht="13.9" customHeight="1" x14ac:dyDescent="0.2">
      <c r="J144" s="2"/>
    </row>
    <row r="145" spans="10:10" s="28" customFormat="1" ht="13.9" customHeight="1" x14ac:dyDescent="0.2">
      <c r="J145" s="2"/>
    </row>
    <row r="146" spans="10:10" s="28" customFormat="1" ht="13.9" customHeight="1" x14ac:dyDescent="0.2">
      <c r="J146" s="2"/>
    </row>
    <row r="147" spans="10:10" s="28" customFormat="1" ht="13.9" customHeight="1" x14ac:dyDescent="0.2">
      <c r="J147" s="2"/>
    </row>
    <row r="148" spans="10:10" s="28" customFormat="1" ht="13.9" customHeight="1" x14ac:dyDescent="0.2">
      <c r="J148" s="2"/>
    </row>
    <row r="149" spans="10:10" s="28" customFormat="1" ht="13.9" customHeight="1" x14ac:dyDescent="0.2">
      <c r="J149" s="2"/>
    </row>
    <row r="150" spans="10:10" s="28" customFormat="1" ht="13.9" customHeight="1" x14ac:dyDescent="0.2">
      <c r="J150" s="2"/>
    </row>
    <row r="151" spans="10:10" s="28" customFormat="1" ht="13.9" customHeight="1" x14ac:dyDescent="0.2">
      <c r="J151" s="2"/>
    </row>
    <row r="152" spans="10:10" s="28" customFormat="1" ht="13.9" customHeight="1" x14ac:dyDescent="0.2">
      <c r="J152" s="2"/>
    </row>
    <row r="153" spans="10:10" s="28" customFormat="1" ht="13.9" customHeight="1" x14ac:dyDescent="0.2">
      <c r="J153" s="2"/>
    </row>
    <row r="154" spans="10:10" s="28" customFormat="1" ht="13.9" customHeight="1" x14ac:dyDescent="0.2">
      <c r="J154" s="2"/>
    </row>
    <row r="155" spans="10:10" s="28" customFormat="1" ht="13.9" customHeight="1" x14ac:dyDescent="0.2">
      <c r="J155" s="2"/>
    </row>
    <row r="156" spans="10:10" s="28" customFormat="1" ht="13.9" customHeight="1" x14ac:dyDescent="0.2">
      <c r="J156" s="2"/>
    </row>
    <row r="157" spans="10:10" s="28" customFormat="1" ht="13.9" customHeight="1" x14ac:dyDescent="0.2">
      <c r="J157" s="2"/>
    </row>
    <row r="158" spans="10:10" s="28" customFormat="1" ht="13.9" customHeight="1" x14ac:dyDescent="0.2">
      <c r="J158" s="2"/>
    </row>
    <row r="159" spans="10:10" s="28" customFormat="1" ht="13.9" customHeight="1" x14ac:dyDescent="0.2">
      <c r="J159" s="2"/>
    </row>
    <row r="160" spans="10:10" s="28" customFormat="1" ht="13.9" customHeight="1" x14ac:dyDescent="0.2">
      <c r="J160" s="2"/>
    </row>
    <row r="161" spans="10:10" s="28" customFormat="1" ht="13.9" customHeight="1" x14ac:dyDescent="0.2">
      <c r="J161" s="2"/>
    </row>
    <row r="162" spans="10:10" s="28" customFormat="1" ht="13.9" customHeight="1" x14ac:dyDescent="0.2">
      <c r="J162" s="2"/>
    </row>
    <row r="163" spans="10:10" s="28" customFormat="1" ht="13.9" customHeight="1" x14ac:dyDescent="0.2">
      <c r="J163" s="2"/>
    </row>
    <row r="164" spans="10:10" s="28" customFormat="1" ht="13.9" customHeight="1" x14ac:dyDescent="0.2">
      <c r="J164" s="2"/>
    </row>
    <row r="165" spans="10:10" s="28" customFormat="1" ht="13.9" customHeight="1" x14ac:dyDescent="0.2">
      <c r="J165" s="2"/>
    </row>
    <row r="166" spans="10:10" s="28" customFormat="1" ht="13.9" customHeight="1" x14ac:dyDescent="0.2">
      <c r="J166" s="2"/>
    </row>
    <row r="167" spans="10:10" s="28" customFormat="1" ht="13.9" customHeight="1" x14ac:dyDescent="0.2">
      <c r="J167" s="2"/>
    </row>
    <row r="168" spans="10:10" s="28" customFormat="1" ht="13.9" customHeight="1" x14ac:dyDescent="0.2">
      <c r="J168" s="2"/>
    </row>
    <row r="169" spans="10:10" s="28" customFormat="1" ht="13.9" customHeight="1" x14ac:dyDescent="0.2">
      <c r="J169" s="2"/>
    </row>
    <row r="170" spans="10:10" s="28" customFormat="1" ht="13.9" customHeight="1" x14ac:dyDescent="0.2">
      <c r="J170" s="2"/>
    </row>
    <row r="171" spans="10:10" s="28" customFormat="1" ht="13.9" customHeight="1" x14ac:dyDescent="0.2">
      <c r="J171" s="2"/>
    </row>
    <row r="172" spans="10:10" s="28" customFormat="1" ht="13.9" customHeight="1" x14ac:dyDescent="0.2">
      <c r="J172" s="2"/>
    </row>
    <row r="173" spans="10:10" s="28" customFormat="1" ht="13.9" customHeight="1" x14ac:dyDescent="0.2">
      <c r="J173" s="2"/>
    </row>
    <row r="174" spans="10:10" s="28" customFormat="1" ht="13.9" customHeight="1" x14ac:dyDescent="0.2">
      <c r="J174" s="2"/>
    </row>
    <row r="175" spans="10:10" s="28" customFormat="1" ht="13.9" customHeight="1" x14ac:dyDescent="0.2">
      <c r="J175" s="2"/>
    </row>
    <row r="176" spans="10:10" s="28" customFormat="1" ht="13.9" customHeight="1" x14ac:dyDescent="0.2">
      <c r="J176" s="2"/>
    </row>
    <row r="177" spans="10:10" s="28" customFormat="1" ht="13.9" customHeight="1" x14ac:dyDescent="0.2">
      <c r="J177" s="2"/>
    </row>
    <row r="178" spans="10:10" s="28" customFormat="1" ht="13.9" customHeight="1" x14ac:dyDescent="0.2">
      <c r="J178" s="2"/>
    </row>
    <row r="179" spans="10:10" s="28" customFormat="1" ht="13.9" customHeight="1" x14ac:dyDescent="0.2">
      <c r="J179" s="2"/>
    </row>
    <row r="180" spans="10:10" s="28" customFormat="1" ht="13.9" customHeight="1" x14ac:dyDescent="0.2">
      <c r="J180" s="2"/>
    </row>
    <row r="181" spans="10:10" s="28" customFormat="1" ht="13.9" customHeight="1" x14ac:dyDescent="0.2">
      <c r="J181" s="2"/>
    </row>
    <row r="182" spans="10:10" s="28" customFormat="1" ht="13.9" customHeight="1" x14ac:dyDescent="0.2">
      <c r="J182" s="2"/>
    </row>
    <row r="183" spans="10:10" s="28" customFormat="1" ht="13.9" customHeight="1" x14ac:dyDescent="0.2">
      <c r="J183" s="2"/>
    </row>
    <row r="184" spans="10:10" s="28" customFormat="1" ht="13.9" customHeight="1" x14ac:dyDescent="0.2">
      <c r="J184" s="2"/>
    </row>
    <row r="185" spans="10:10" s="28" customFormat="1" ht="13.9" customHeight="1" x14ac:dyDescent="0.2">
      <c r="J185" s="2"/>
    </row>
    <row r="186" spans="10:10" s="28" customFormat="1" ht="13.9" customHeight="1" x14ac:dyDescent="0.2">
      <c r="J186" s="2"/>
    </row>
    <row r="187" spans="10:10" s="28" customFormat="1" ht="13.9" customHeight="1" x14ac:dyDescent="0.2">
      <c r="J187" s="2"/>
    </row>
    <row r="188" spans="10:10" s="28" customFormat="1" ht="13.9" customHeight="1" x14ac:dyDescent="0.2">
      <c r="J188" s="2"/>
    </row>
    <row r="189" spans="10:10" s="28" customFormat="1" ht="13.9" customHeight="1" x14ac:dyDescent="0.2">
      <c r="J189" s="2"/>
    </row>
    <row r="190" spans="10:10" s="28" customFormat="1" ht="13.9" customHeight="1" x14ac:dyDescent="0.2">
      <c r="J190" s="2"/>
    </row>
    <row r="191" spans="10:10" s="28" customFormat="1" ht="13.9" customHeight="1" x14ac:dyDescent="0.2">
      <c r="J191" s="2"/>
    </row>
    <row r="192" spans="10:10" s="28" customFormat="1" ht="13.9" customHeight="1" x14ac:dyDescent="0.2">
      <c r="J192" s="2"/>
    </row>
    <row r="193" spans="10:10" s="28" customFormat="1" ht="13.9" customHeight="1" x14ac:dyDescent="0.2">
      <c r="J193" s="2"/>
    </row>
    <row r="194" spans="10:10" s="28" customFormat="1" ht="13.9" customHeight="1" x14ac:dyDescent="0.2">
      <c r="J194" s="2"/>
    </row>
    <row r="195" spans="10:10" s="28" customFormat="1" ht="13.9" customHeight="1" x14ac:dyDescent="0.2">
      <c r="J195" s="2"/>
    </row>
    <row r="196" spans="10:10" s="28" customFormat="1" ht="13.9" customHeight="1" x14ac:dyDescent="0.2">
      <c r="J196" s="2"/>
    </row>
    <row r="197" spans="10:10" s="28" customFormat="1" ht="13.9" customHeight="1" x14ac:dyDescent="0.2">
      <c r="J197" s="2"/>
    </row>
    <row r="198" spans="10:10" s="28" customFormat="1" ht="13.9" customHeight="1" x14ac:dyDescent="0.2">
      <c r="J198" s="2"/>
    </row>
    <row r="199" spans="10:10" s="28" customFormat="1" ht="13.9" customHeight="1" x14ac:dyDescent="0.2">
      <c r="J199" s="2"/>
    </row>
    <row r="200" spans="10:10" s="28" customFormat="1" ht="13.9" customHeight="1" x14ac:dyDescent="0.2">
      <c r="J200" s="2"/>
    </row>
    <row r="201" spans="10:10" s="28" customFormat="1" ht="13.9" customHeight="1" x14ac:dyDescent="0.2">
      <c r="J201" s="2"/>
    </row>
    <row r="202" spans="10:10" s="28" customFormat="1" ht="13.9" customHeight="1" x14ac:dyDescent="0.2">
      <c r="J202" s="2"/>
    </row>
    <row r="203" spans="10:10" s="28" customFormat="1" ht="13.9" customHeight="1" x14ac:dyDescent="0.2">
      <c r="J203" s="2"/>
    </row>
    <row r="204" spans="10:10" s="28" customFormat="1" ht="13.9" customHeight="1" x14ac:dyDescent="0.2">
      <c r="J204" s="2"/>
    </row>
    <row r="205" spans="10:10" s="28" customFormat="1" ht="13.9" customHeight="1" x14ac:dyDescent="0.2">
      <c r="J205" s="2"/>
    </row>
    <row r="206" spans="10:10" s="28" customFormat="1" ht="13.9" customHeight="1" x14ac:dyDescent="0.2">
      <c r="J206" s="2"/>
    </row>
    <row r="207" spans="10:10" s="28" customFormat="1" ht="13.9" customHeight="1" x14ac:dyDescent="0.2">
      <c r="J207" s="2"/>
    </row>
    <row r="208" spans="10:10" s="28" customFormat="1" ht="13.9" customHeight="1" x14ac:dyDescent="0.2">
      <c r="J208" s="2"/>
    </row>
    <row r="209" spans="10:10" s="28" customFormat="1" ht="13.9" customHeight="1" x14ac:dyDescent="0.2">
      <c r="J209" s="2"/>
    </row>
    <row r="210" spans="10:10" s="28" customFormat="1" ht="13.9" customHeight="1" x14ac:dyDescent="0.2">
      <c r="J210" s="2"/>
    </row>
    <row r="211" spans="10:10" s="28" customFormat="1" ht="13.9" customHeight="1" x14ac:dyDescent="0.2">
      <c r="J211" s="2"/>
    </row>
    <row r="212" spans="10:10" s="28" customFormat="1" ht="13.9" customHeight="1" x14ac:dyDescent="0.2">
      <c r="J212" s="2"/>
    </row>
    <row r="213" spans="10:10" s="28" customFormat="1" ht="13.9" customHeight="1" x14ac:dyDescent="0.2">
      <c r="J213" s="2"/>
    </row>
    <row r="214" spans="10:10" s="28" customFormat="1" ht="13.9" customHeight="1" x14ac:dyDescent="0.2">
      <c r="J214" s="2"/>
    </row>
    <row r="215" spans="10:10" s="28" customFormat="1" ht="13.9" customHeight="1" x14ac:dyDescent="0.2">
      <c r="J215" s="2"/>
    </row>
    <row r="216" spans="10:10" s="28" customFormat="1" ht="13.9" customHeight="1" x14ac:dyDescent="0.2">
      <c r="J216" s="2"/>
    </row>
    <row r="217" spans="10:10" s="28" customFormat="1" ht="13.9" customHeight="1" x14ac:dyDescent="0.2">
      <c r="J217" s="2"/>
    </row>
    <row r="218" spans="10:10" s="28" customFormat="1" ht="13.9" customHeight="1" x14ac:dyDescent="0.2">
      <c r="J218" s="2"/>
    </row>
    <row r="219" spans="10:10" s="28" customFormat="1" ht="13.9" customHeight="1" x14ac:dyDescent="0.2">
      <c r="J219" s="2"/>
    </row>
    <row r="220" spans="10:10" s="28" customFormat="1" ht="13.9" customHeight="1" x14ac:dyDescent="0.2">
      <c r="J220" s="2"/>
    </row>
    <row r="221" spans="10:10" s="28" customFormat="1" ht="13.9" customHeight="1" x14ac:dyDescent="0.2">
      <c r="J221" s="2"/>
    </row>
    <row r="222" spans="10:10" s="28" customFormat="1" ht="13.9" customHeight="1" x14ac:dyDescent="0.2">
      <c r="J222" s="2"/>
    </row>
    <row r="223" spans="10:10" s="28" customFormat="1" ht="13.9" customHeight="1" x14ac:dyDescent="0.2">
      <c r="J223" s="2"/>
    </row>
    <row r="224" spans="10:10" s="28" customFormat="1" ht="13.9" customHeight="1" x14ac:dyDescent="0.2">
      <c r="J224" s="2"/>
    </row>
    <row r="225" spans="10:10" s="28" customFormat="1" ht="13.9" customHeight="1" x14ac:dyDescent="0.2">
      <c r="J225" s="2"/>
    </row>
    <row r="226" spans="10:10" s="28" customFormat="1" ht="13.9" customHeight="1" x14ac:dyDescent="0.2">
      <c r="J226" s="2"/>
    </row>
    <row r="227" spans="10:10" s="28" customFormat="1" ht="13.9" customHeight="1" x14ac:dyDescent="0.2">
      <c r="J227" s="2"/>
    </row>
    <row r="228" spans="10:10" s="28" customFormat="1" ht="13.9" customHeight="1" x14ac:dyDescent="0.2">
      <c r="J228" s="2"/>
    </row>
    <row r="229" spans="10:10" s="28" customFormat="1" ht="13.9" customHeight="1" x14ac:dyDescent="0.2">
      <c r="J229" s="2"/>
    </row>
    <row r="230" spans="10:10" s="28" customFormat="1" ht="13.9" customHeight="1" x14ac:dyDescent="0.2">
      <c r="J230" s="2"/>
    </row>
    <row r="231" spans="10:10" s="28" customFormat="1" ht="13.9" customHeight="1" x14ac:dyDescent="0.2">
      <c r="J231" s="2"/>
    </row>
    <row r="232" spans="10:10" s="28" customFormat="1" ht="13.9" customHeight="1" x14ac:dyDescent="0.2">
      <c r="J232" s="2"/>
    </row>
    <row r="233" spans="10:10" s="28" customFormat="1" ht="13.9" customHeight="1" x14ac:dyDescent="0.2">
      <c r="J233" s="2"/>
    </row>
    <row r="234" spans="10:10" s="28" customFormat="1" ht="13.9" customHeight="1" x14ac:dyDescent="0.2">
      <c r="J234" s="2"/>
    </row>
    <row r="235" spans="10:10" s="28" customFormat="1" ht="13.9" customHeight="1" x14ac:dyDescent="0.2">
      <c r="J235" s="2"/>
    </row>
    <row r="236" spans="10:10" s="28" customFormat="1" ht="13.9" customHeight="1" x14ac:dyDescent="0.2">
      <c r="J236" s="2"/>
    </row>
    <row r="237" spans="10:10" s="28" customFormat="1" ht="13.9" customHeight="1" x14ac:dyDescent="0.2">
      <c r="J237" s="2"/>
    </row>
    <row r="238" spans="10:10" s="28" customFormat="1" ht="13.9" customHeight="1" x14ac:dyDescent="0.2">
      <c r="J238" s="2"/>
    </row>
    <row r="239" spans="10:10" s="28" customFormat="1" ht="13.9" customHeight="1" x14ac:dyDescent="0.2">
      <c r="J239" s="2"/>
    </row>
    <row r="240" spans="10:10" s="28" customFormat="1" ht="13.9" customHeight="1" x14ac:dyDescent="0.2">
      <c r="J240" s="2"/>
    </row>
    <row r="241" spans="10:10" s="28" customFormat="1" ht="13.9" customHeight="1" x14ac:dyDescent="0.2">
      <c r="J241" s="2"/>
    </row>
    <row r="242" spans="10:10" s="28" customFormat="1" ht="13.9" customHeight="1" x14ac:dyDescent="0.2">
      <c r="J242" s="2"/>
    </row>
    <row r="243" spans="10:10" s="28" customFormat="1" ht="13.9" customHeight="1" x14ac:dyDescent="0.2">
      <c r="J243" s="2"/>
    </row>
    <row r="244" spans="10:10" s="28" customFormat="1" ht="13.9" customHeight="1" x14ac:dyDescent="0.2">
      <c r="J244" s="2"/>
    </row>
    <row r="245" spans="10:10" s="28" customFormat="1" ht="13.9" customHeight="1" x14ac:dyDescent="0.2">
      <c r="J245" s="2"/>
    </row>
    <row r="246" spans="10:10" s="28" customFormat="1" ht="13.9" customHeight="1" x14ac:dyDescent="0.2">
      <c r="J246" s="2"/>
    </row>
    <row r="247" spans="10:10" s="28" customFormat="1" ht="13.9" customHeight="1" x14ac:dyDescent="0.2">
      <c r="J247" s="2"/>
    </row>
    <row r="248" spans="10:10" s="28" customFormat="1" ht="13.9" customHeight="1" x14ac:dyDescent="0.2">
      <c r="J248" s="2"/>
    </row>
    <row r="249" spans="10:10" s="28" customFormat="1" ht="13.9" customHeight="1" x14ac:dyDescent="0.2">
      <c r="J249" s="2"/>
    </row>
    <row r="250" spans="10:10" s="28" customFormat="1" ht="13.9" customHeight="1" x14ac:dyDescent="0.2">
      <c r="J250" s="2"/>
    </row>
    <row r="251" spans="10:10" s="28" customFormat="1" ht="13.9" customHeight="1" x14ac:dyDescent="0.2">
      <c r="J251" s="2"/>
    </row>
    <row r="252" spans="10:10" s="28" customFormat="1" ht="13.9" customHeight="1" x14ac:dyDescent="0.2">
      <c r="J252" s="2"/>
    </row>
    <row r="253" spans="10:10" s="28" customFormat="1" ht="13.9" customHeight="1" x14ac:dyDescent="0.2">
      <c r="J253" s="2"/>
    </row>
    <row r="254" spans="10:10" s="28" customFormat="1" ht="13.9" customHeight="1" x14ac:dyDescent="0.2">
      <c r="J254" s="2"/>
    </row>
    <row r="255" spans="10:10" s="28" customFormat="1" ht="13.9" customHeight="1" x14ac:dyDescent="0.2">
      <c r="J255" s="2"/>
    </row>
    <row r="256" spans="10:10" s="28" customFormat="1" ht="13.9" customHeight="1" x14ac:dyDescent="0.2">
      <c r="J256" s="2"/>
    </row>
    <row r="257" spans="10:10" s="28" customFormat="1" ht="13.9" customHeight="1" x14ac:dyDescent="0.2">
      <c r="J257" s="2"/>
    </row>
    <row r="258" spans="10:10" s="28" customFormat="1" ht="13.9" customHeight="1" x14ac:dyDescent="0.2">
      <c r="J258" s="2"/>
    </row>
    <row r="259" spans="10:10" s="28" customFormat="1" ht="13.9" customHeight="1" x14ac:dyDescent="0.2">
      <c r="J259" s="2"/>
    </row>
    <row r="260" spans="10:10" s="28" customFormat="1" ht="13.9" customHeight="1" x14ac:dyDescent="0.2">
      <c r="J260" s="2"/>
    </row>
    <row r="261" spans="10:10" s="28" customFormat="1" ht="13.9" customHeight="1" x14ac:dyDescent="0.2">
      <c r="J261" s="2"/>
    </row>
    <row r="262" spans="10:10" s="28" customFormat="1" ht="13.9" customHeight="1" x14ac:dyDescent="0.2">
      <c r="J262" s="2"/>
    </row>
    <row r="263" spans="10:10" s="28" customFormat="1" ht="13.9" customHeight="1" x14ac:dyDescent="0.2">
      <c r="J263" s="2"/>
    </row>
    <row r="264" spans="10:10" s="28" customFormat="1" ht="13.9" customHeight="1" x14ac:dyDescent="0.2">
      <c r="J264" s="2"/>
    </row>
    <row r="265" spans="10:10" s="28" customFormat="1" ht="13.9" customHeight="1" x14ac:dyDescent="0.2">
      <c r="J265" s="2"/>
    </row>
    <row r="266" spans="10:10" s="28" customFormat="1" ht="13.9" customHeight="1" x14ac:dyDescent="0.2">
      <c r="J266" s="2"/>
    </row>
    <row r="267" spans="10:10" s="28" customFormat="1" ht="13.9" customHeight="1" x14ac:dyDescent="0.2">
      <c r="J267" s="2"/>
    </row>
    <row r="268" spans="10:10" s="28" customFormat="1" ht="13.9" customHeight="1" x14ac:dyDescent="0.2">
      <c r="J268" s="2"/>
    </row>
    <row r="269" spans="10:10" s="28" customFormat="1" ht="13.9" customHeight="1" x14ac:dyDescent="0.2">
      <c r="J269" s="2"/>
    </row>
    <row r="270" spans="10:10" s="28" customFormat="1" ht="13.9" customHeight="1" x14ac:dyDescent="0.2">
      <c r="J270" s="2"/>
    </row>
    <row r="271" spans="10:10" s="28" customFormat="1" ht="13.9" customHeight="1" x14ac:dyDescent="0.2">
      <c r="J271" s="2"/>
    </row>
    <row r="272" spans="10:10" s="28" customFormat="1" ht="13.9" customHeight="1" x14ac:dyDescent="0.2">
      <c r="J272" s="2"/>
    </row>
    <row r="273" spans="10:10" s="28" customFormat="1" ht="13.9" customHeight="1" x14ac:dyDescent="0.2">
      <c r="J273" s="2"/>
    </row>
    <row r="274" spans="10:10" s="28" customFormat="1" ht="13.9" customHeight="1" x14ac:dyDescent="0.2">
      <c r="J274" s="2"/>
    </row>
    <row r="275" spans="10:10" s="28" customFormat="1" ht="13.9" customHeight="1" x14ac:dyDescent="0.2">
      <c r="J275" s="2"/>
    </row>
    <row r="276" spans="10:10" s="28" customFormat="1" ht="13.9" customHeight="1" x14ac:dyDescent="0.2">
      <c r="J276" s="2"/>
    </row>
    <row r="277" spans="10:10" s="28" customFormat="1" ht="13.9" customHeight="1" x14ac:dyDescent="0.2">
      <c r="J277" s="2"/>
    </row>
    <row r="278" spans="10:10" s="28" customFormat="1" ht="13.9" customHeight="1" x14ac:dyDescent="0.2">
      <c r="J278" s="2"/>
    </row>
    <row r="279" spans="10:10" s="28" customFormat="1" ht="13.9" customHeight="1" x14ac:dyDescent="0.2">
      <c r="J279" s="2"/>
    </row>
    <row r="280" spans="10:10" s="28" customFormat="1" ht="13.9" customHeight="1" x14ac:dyDescent="0.2">
      <c r="J280" s="2"/>
    </row>
    <row r="281" spans="10:10" s="28" customFormat="1" ht="13.9" customHeight="1" x14ac:dyDescent="0.2">
      <c r="J281" s="2"/>
    </row>
    <row r="282" spans="10:10" s="28" customFormat="1" ht="13.9" customHeight="1" x14ac:dyDescent="0.2">
      <c r="J282" s="2"/>
    </row>
    <row r="283" spans="10:10" s="28" customFormat="1" ht="13.9" customHeight="1" x14ac:dyDescent="0.2">
      <c r="J283" s="2"/>
    </row>
    <row r="284" spans="10:10" s="28" customFormat="1" ht="13.9" customHeight="1" x14ac:dyDescent="0.2">
      <c r="J284" s="2"/>
    </row>
    <row r="285" spans="10:10" s="28" customFormat="1" ht="13.9" customHeight="1" x14ac:dyDescent="0.2">
      <c r="J285" s="2"/>
    </row>
    <row r="286" spans="10:10" s="28" customFormat="1" ht="13.9" customHeight="1" x14ac:dyDescent="0.2">
      <c r="J286" s="2"/>
    </row>
    <row r="287" spans="10:10" s="28" customFormat="1" ht="13.9" customHeight="1" x14ac:dyDescent="0.2">
      <c r="J287" s="2"/>
    </row>
    <row r="288" spans="10:10" s="28" customFormat="1" ht="13.9" customHeight="1" x14ac:dyDescent="0.2">
      <c r="J288" s="2"/>
    </row>
    <row r="289" spans="10:10" s="28" customFormat="1" ht="13.9" customHeight="1" x14ac:dyDescent="0.2">
      <c r="J289" s="2"/>
    </row>
    <row r="290" spans="10:10" s="28" customFormat="1" ht="13.9" customHeight="1" x14ac:dyDescent="0.2">
      <c r="J290" s="2"/>
    </row>
    <row r="291" spans="10:10" s="28" customFormat="1" ht="13.9" customHeight="1" x14ac:dyDescent="0.2">
      <c r="J291" s="2"/>
    </row>
    <row r="292" spans="10:10" s="28" customFormat="1" ht="13.9" customHeight="1" x14ac:dyDescent="0.2">
      <c r="J292" s="2"/>
    </row>
    <row r="293" spans="10:10" s="28" customFormat="1" ht="13.9" customHeight="1" x14ac:dyDescent="0.2">
      <c r="J293" s="2"/>
    </row>
    <row r="294" spans="10:10" s="28" customFormat="1" ht="13.9" customHeight="1" x14ac:dyDescent="0.2">
      <c r="J294" s="2"/>
    </row>
    <row r="295" spans="10:10" s="28" customFormat="1" ht="13.9" customHeight="1" x14ac:dyDescent="0.2">
      <c r="J295" s="2"/>
    </row>
    <row r="296" spans="10:10" s="28" customFormat="1" ht="13.9" customHeight="1" x14ac:dyDescent="0.2">
      <c r="J296" s="2"/>
    </row>
    <row r="297" spans="10:10" s="28" customFormat="1" ht="13.9" customHeight="1" x14ac:dyDescent="0.2">
      <c r="J297" s="2"/>
    </row>
    <row r="298" spans="10:10" s="28" customFormat="1" ht="13.9" customHeight="1" x14ac:dyDescent="0.2">
      <c r="J298" s="2"/>
    </row>
    <row r="299" spans="10:10" s="28" customFormat="1" ht="13.9" customHeight="1" x14ac:dyDescent="0.2">
      <c r="J299" s="2"/>
    </row>
    <row r="300" spans="10:10" s="28" customFormat="1" ht="13.9" customHeight="1" x14ac:dyDescent="0.2">
      <c r="J300" s="2"/>
    </row>
    <row r="301" spans="10:10" s="28" customFormat="1" ht="13.9" customHeight="1" x14ac:dyDescent="0.2">
      <c r="J301" s="2"/>
    </row>
    <row r="302" spans="10:10" s="28" customFormat="1" ht="13.9" customHeight="1" x14ac:dyDescent="0.2">
      <c r="J302" s="2"/>
    </row>
    <row r="303" spans="10:10" s="28" customFormat="1" ht="13.9" customHeight="1" x14ac:dyDescent="0.2">
      <c r="J303" s="2"/>
    </row>
    <row r="304" spans="10:10" s="28" customFormat="1" ht="13.9" customHeight="1" x14ac:dyDescent="0.2">
      <c r="J304" s="2"/>
    </row>
    <row r="305" spans="10:10" s="28" customFormat="1" ht="13.9" customHeight="1" x14ac:dyDescent="0.2">
      <c r="J305" s="2"/>
    </row>
    <row r="306" spans="10:10" s="28" customFormat="1" ht="13.9" customHeight="1" x14ac:dyDescent="0.2">
      <c r="J306" s="2"/>
    </row>
    <row r="307" spans="10:10" s="28" customFormat="1" ht="13.9" customHeight="1" x14ac:dyDescent="0.2">
      <c r="J307" s="2"/>
    </row>
    <row r="308" spans="10:10" s="28" customFormat="1" ht="13.9" customHeight="1" x14ac:dyDescent="0.2">
      <c r="J308" s="2"/>
    </row>
    <row r="309" spans="10:10" s="28" customFormat="1" ht="13.9" customHeight="1" x14ac:dyDescent="0.2">
      <c r="J309" s="2"/>
    </row>
    <row r="310" spans="10:10" s="28" customFormat="1" ht="13.9" customHeight="1" x14ac:dyDescent="0.2">
      <c r="J310" s="2"/>
    </row>
    <row r="311" spans="10:10" s="28" customFormat="1" ht="13.9" customHeight="1" x14ac:dyDescent="0.2">
      <c r="J311" s="2"/>
    </row>
    <row r="312" spans="10:10" s="28" customFormat="1" ht="13.9" customHeight="1" x14ac:dyDescent="0.2">
      <c r="J312" s="2"/>
    </row>
    <row r="313" spans="10:10" s="28" customFormat="1" ht="13.9" customHeight="1" x14ac:dyDescent="0.2">
      <c r="J313" s="2"/>
    </row>
    <row r="314" spans="10:10" s="28" customFormat="1" ht="13.9" customHeight="1" x14ac:dyDescent="0.2">
      <c r="J314" s="2"/>
    </row>
    <row r="315" spans="10:10" s="28" customFormat="1" ht="13.9" customHeight="1" x14ac:dyDescent="0.2">
      <c r="J315" s="2"/>
    </row>
    <row r="316" spans="10:10" s="28" customFormat="1" ht="13.9" customHeight="1" x14ac:dyDescent="0.2">
      <c r="J316" s="2"/>
    </row>
    <row r="317" spans="10:10" s="28" customFormat="1" ht="13.9" customHeight="1" x14ac:dyDescent="0.2">
      <c r="J317" s="2"/>
    </row>
    <row r="318" spans="10:10" s="28" customFormat="1" ht="13.9" customHeight="1" x14ac:dyDescent="0.2">
      <c r="J318" s="2"/>
    </row>
    <row r="319" spans="10:10" s="28" customFormat="1" ht="13.9" customHeight="1" x14ac:dyDescent="0.2">
      <c r="J319" s="2"/>
    </row>
    <row r="320" spans="10:10" s="28" customFormat="1" ht="13.9" customHeight="1" x14ac:dyDescent="0.2">
      <c r="J320" s="2"/>
    </row>
    <row r="321" spans="10:10" s="28" customFormat="1" ht="13.9" customHeight="1" x14ac:dyDescent="0.2">
      <c r="J321" s="2"/>
    </row>
    <row r="322" spans="10:10" s="28" customFormat="1" ht="13.9" customHeight="1" x14ac:dyDescent="0.2">
      <c r="J322" s="2"/>
    </row>
    <row r="323" spans="10:10" s="28" customFormat="1" ht="13.9" customHeight="1" x14ac:dyDescent="0.2">
      <c r="J323" s="2"/>
    </row>
    <row r="324" spans="10:10" s="28" customFormat="1" ht="13.9" customHeight="1" x14ac:dyDescent="0.2">
      <c r="J324" s="2"/>
    </row>
    <row r="325" spans="10:10" s="28" customFormat="1" ht="13.9" customHeight="1" x14ac:dyDescent="0.2">
      <c r="J325" s="2"/>
    </row>
    <row r="326" spans="10:10" s="28" customFormat="1" ht="13.9" customHeight="1" x14ac:dyDescent="0.2">
      <c r="J326" s="2"/>
    </row>
    <row r="327" spans="10:10" s="28" customFormat="1" ht="13.9" customHeight="1" x14ac:dyDescent="0.2">
      <c r="J327" s="2"/>
    </row>
    <row r="328" spans="10:10" s="28" customFormat="1" ht="13.9" customHeight="1" x14ac:dyDescent="0.2">
      <c r="J328" s="2"/>
    </row>
    <row r="329" spans="10:10" s="28" customFormat="1" ht="13.9" customHeight="1" x14ac:dyDescent="0.2">
      <c r="J329" s="2"/>
    </row>
    <row r="330" spans="10:10" s="28" customFormat="1" ht="13.9" customHeight="1" x14ac:dyDescent="0.2">
      <c r="J330" s="2"/>
    </row>
    <row r="331" spans="10:10" s="28" customFormat="1" ht="13.9" customHeight="1" x14ac:dyDescent="0.2">
      <c r="J331" s="2"/>
    </row>
    <row r="332" spans="10:10" s="28" customFormat="1" ht="13.9" customHeight="1" x14ac:dyDescent="0.2">
      <c r="J332" s="2"/>
    </row>
    <row r="333" spans="10:10" s="28" customFormat="1" ht="13.9" customHeight="1" x14ac:dyDescent="0.2">
      <c r="J333" s="2"/>
    </row>
    <row r="334" spans="10:10" s="28" customFormat="1" ht="13.9" customHeight="1" x14ac:dyDescent="0.2">
      <c r="J334" s="2"/>
    </row>
    <row r="335" spans="10:10" s="28" customFormat="1" ht="13.9" customHeight="1" x14ac:dyDescent="0.2">
      <c r="J335" s="2"/>
    </row>
    <row r="336" spans="10:10" s="28" customFormat="1" ht="13.9" customHeight="1" x14ac:dyDescent="0.2">
      <c r="J336" s="2"/>
    </row>
    <row r="337" spans="10:10" s="28" customFormat="1" ht="13.9" customHeight="1" x14ac:dyDescent="0.2">
      <c r="J337" s="2"/>
    </row>
    <row r="338" spans="10:10" s="28" customFormat="1" ht="13.9" customHeight="1" x14ac:dyDescent="0.2">
      <c r="J338" s="2"/>
    </row>
    <row r="339" spans="10:10" s="28" customFormat="1" ht="13.9" customHeight="1" x14ac:dyDescent="0.2">
      <c r="J339" s="2"/>
    </row>
    <row r="340" spans="10:10" s="28" customFormat="1" ht="13.9" customHeight="1" x14ac:dyDescent="0.2">
      <c r="J340" s="2"/>
    </row>
    <row r="341" spans="10:10" s="28" customFormat="1" ht="13.9" customHeight="1" x14ac:dyDescent="0.2">
      <c r="J341" s="2"/>
    </row>
    <row r="342" spans="10:10" s="28" customFormat="1" ht="13.9" customHeight="1" x14ac:dyDescent="0.2">
      <c r="J342" s="2"/>
    </row>
    <row r="343" spans="10:10" s="28" customFormat="1" ht="13.9" customHeight="1" x14ac:dyDescent="0.2">
      <c r="J343" s="2"/>
    </row>
    <row r="344" spans="10:10" s="28" customFormat="1" ht="13.9" customHeight="1" x14ac:dyDescent="0.2">
      <c r="J344" s="2"/>
    </row>
    <row r="345" spans="10:10" s="28" customFormat="1" ht="13.9" customHeight="1" x14ac:dyDescent="0.2">
      <c r="J345" s="2"/>
    </row>
    <row r="346" spans="10:10" s="28" customFormat="1" ht="13.9" customHeight="1" x14ac:dyDescent="0.2">
      <c r="J346" s="2"/>
    </row>
    <row r="347" spans="10:10" s="28" customFormat="1" ht="13.9" customHeight="1" x14ac:dyDescent="0.2">
      <c r="J347" s="2"/>
    </row>
    <row r="348" spans="10:10" s="28" customFormat="1" ht="13.9" customHeight="1" x14ac:dyDescent="0.2">
      <c r="J348" s="2"/>
    </row>
    <row r="349" spans="10:10" s="28" customFormat="1" ht="13.9" customHeight="1" x14ac:dyDescent="0.2">
      <c r="J349" s="2"/>
    </row>
    <row r="350" spans="10:10" s="28" customFormat="1" ht="13.9" customHeight="1" x14ac:dyDescent="0.2">
      <c r="J350" s="2"/>
    </row>
    <row r="351" spans="10:10" s="28" customFormat="1" ht="13.9" customHeight="1" x14ac:dyDescent="0.2">
      <c r="J351" s="2"/>
    </row>
    <row r="352" spans="10:10" s="28" customFormat="1" ht="13.9" customHeight="1" x14ac:dyDescent="0.2">
      <c r="J352" s="2"/>
    </row>
    <row r="353" spans="10:10" s="28" customFormat="1" ht="13.9" customHeight="1" x14ac:dyDescent="0.2">
      <c r="J353" s="2"/>
    </row>
    <row r="354" spans="10:10" s="28" customFormat="1" ht="13.9" customHeight="1" x14ac:dyDescent="0.2">
      <c r="J354" s="2"/>
    </row>
    <row r="355" spans="10:10" s="28" customFormat="1" ht="13.9" customHeight="1" x14ac:dyDescent="0.2">
      <c r="J355" s="2"/>
    </row>
    <row r="356" spans="10:10" s="28" customFormat="1" ht="13.9" customHeight="1" x14ac:dyDescent="0.2">
      <c r="J356" s="2"/>
    </row>
    <row r="357" spans="10:10" s="28" customFormat="1" ht="13.9" customHeight="1" x14ac:dyDescent="0.2">
      <c r="J357" s="2"/>
    </row>
    <row r="358" spans="10:10" s="28" customFormat="1" ht="13.9" customHeight="1" x14ac:dyDescent="0.2">
      <c r="J358" s="2"/>
    </row>
    <row r="359" spans="10:10" s="28" customFormat="1" ht="13.9" customHeight="1" x14ac:dyDescent="0.2">
      <c r="J359" s="2"/>
    </row>
    <row r="360" spans="10:10" s="28" customFormat="1" ht="13.9" customHeight="1" x14ac:dyDescent="0.2">
      <c r="J360" s="2"/>
    </row>
    <row r="361" spans="10:10" s="28" customFormat="1" ht="13.9" customHeight="1" x14ac:dyDescent="0.2">
      <c r="J361" s="2"/>
    </row>
    <row r="362" spans="10:10" s="28" customFormat="1" ht="13.9" customHeight="1" x14ac:dyDescent="0.2">
      <c r="J362" s="2"/>
    </row>
    <row r="363" spans="10:10" s="28" customFormat="1" ht="13.9" customHeight="1" x14ac:dyDescent="0.2">
      <c r="J363" s="2"/>
    </row>
    <row r="364" spans="10:10" s="28" customFormat="1" ht="13.9" customHeight="1" x14ac:dyDescent="0.2">
      <c r="J364" s="2"/>
    </row>
    <row r="365" spans="10:10" s="28" customFormat="1" ht="13.9" customHeight="1" x14ac:dyDescent="0.2">
      <c r="J365" s="2"/>
    </row>
    <row r="366" spans="10:10" s="28" customFormat="1" ht="13.9" customHeight="1" x14ac:dyDescent="0.2">
      <c r="J366" s="2"/>
    </row>
    <row r="367" spans="10:10" s="28" customFormat="1" ht="13.9" customHeight="1" x14ac:dyDescent="0.2">
      <c r="J367" s="2"/>
    </row>
    <row r="368" spans="10:10" s="28" customFormat="1" ht="13.9" customHeight="1" x14ac:dyDescent="0.2">
      <c r="J368" s="2"/>
    </row>
    <row r="369" spans="10:10" s="28" customFormat="1" ht="13.9" customHeight="1" x14ac:dyDescent="0.2">
      <c r="J369" s="2"/>
    </row>
    <row r="370" spans="10:10" s="28" customFormat="1" ht="13.9" customHeight="1" x14ac:dyDescent="0.2">
      <c r="J370" s="2"/>
    </row>
    <row r="371" spans="10:10" s="28" customFormat="1" ht="13.9" customHeight="1" x14ac:dyDescent="0.2">
      <c r="J371" s="2"/>
    </row>
    <row r="372" spans="10:10" s="28" customFormat="1" ht="13.9" customHeight="1" x14ac:dyDescent="0.2">
      <c r="J372" s="2"/>
    </row>
    <row r="373" spans="10:10" s="28" customFormat="1" ht="13.9" customHeight="1" x14ac:dyDescent="0.2">
      <c r="J373" s="2"/>
    </row>
    <row r="374" spans="10:10" s="28" customFormat="1" ht="13.9" customHeight="1" x14ac:dyDescent="0.2">
      <c r="J374" s="2"/>
    </row>
    <row r="375" spans="10:10" s="28" customFormat="1" ht="13.9" customHeight="1" x14ac:dyDescent="0.2">
      <c r="J375" s="2"/>
    </row>
    <row r="376" spans="10:10" s="28" customFormat="1" ht="13.9" customHeight="1" x14ac:dyDescent="0.2">
      <c r="J376" s="2"/>
    </row>
    <row r="377" spans="10:10" s="28" customFormat="1" ht="13.9" customHeight="1" x14ac:dyDescent="0.2">
      <c r="J377" s="2"/>
    </row>
    <row r="378" spans="10:10" s="28" customFormat="1" ht="13.9" customHeight="1" x14ac:dyDescent="0.2">
      <c r="J378" s="2"/>
    </row>
    <row r="379" spans="10:10" s="28" customFormat="1" ht="13.9" customHeight="1" x14ac:dyDescent="0.2">
      <c r="J379" s="2"/>
    </row>
    <row r="380" spans="10:10" s="28" customFormat="1" ht="13.9" customHeight="1" x14ac:dyDescent="0.2">
      <c r="J380" s="2"/>
    </row>
    <row r="381" spans="10:10" s="28" customFormat="1" ht="13.9" customHeight="1" x14ac:dyDescent="0.2">
      <c r="J381" s="2"/>
    </row>
    <row r="382" spans="10:10" s="28" customFormat="1" ht="13.9" customHeight="1" x14ac:dyDescent="0.2">
      <c r="J382" s="2"/>
    </row>
    <row r="383" spans="10:10" s="28" customFormat="1" ht="13.9" customHeight="1" x14ac:dyDescent="0.2">
      <c r="J383" s="2"/>
    </row>
    <row r="384" spans="10:10" s="28" customFormat="1" ht="13.9" customHeight="1" x14ac:dyDescent="0.2">
      <c r="J384" s="2"/>
    </row>
    <row r="385" spans="10:10" s="28" customFormat="1" ht="13.9" customHeight="1" x14ac:dyDescent="0.2">
      <c r="J385" s="2"/>
    </row>
    <row r="386" spans="10:10" s="28" customFormat="1" ht="13.9" customHeight="1" x14ac:dyDescent="0.2">
      <c r="J386" s="2"/>
    </row>
    <row r="387" spans="10:10" s="28" customFormat="1" ht="13.9" customHeight="1" x14ac:dyDescent="0.2">
      <c r="J387" s="2"/>
    </row>
    <row r="388" spans="10:10" s="28" customFormat="1" ht="13.9" customHeight="1" x14ac:dyDescent="0.2">
      <c r="J388" s="2"/>
    </row>
    <row r="389" spans="10:10" s="28" customFormat="1" ht="13.9" customHeight="1" x14ac:dyDescent="0.2">
      <c r="J389" s="2"/>
    </row>
    <row r="390" spans="10:10" s="28" customFormat="1" ht="13.9" customHeight="1" x14ac:dyDescent="0.2">
      <c r="J390" s="2"/>
    </row>
    <row r="391" spans="10:10" s="28" customFormat="1" ht="13.9" customHeight="1" x14ac:dyDescent="0.2">
      <c r="J391" s="2"/>
    </row>
    <row r="392" spans="10:10" s="28" customFormat="1" ht="13.9" customHeight="1" x14ac:dyDescent="0.2">
      <c r="J392" s="2"/>
    </row>
    <row r="393" spans="10:10" s="28" customFormat="1" ht="13.9" customHeight="1" x14ac:dyDescent="0.2">
      <c r="J393" s="2"/>
    </row>
    <row r="394" spans="10:10" s="28" customFormat="1" ht="13.9" customHeight="1" x14ac:dyDescent="0.2">
      <c r="J394" s="2"/>
    </row>
    <row r="395" spans="10:10" s="28" customFormat="1" ht="13.9" customHeight="1" x14ac:dyDescent="0.2">
      <c r="J395" s="2"/>
    </row>
    <row r="396" spans="10:10" s="28" customFormat="1" ht="13.9" customHeight="1" x14ac:dyDescent="0.2">
      <c r="J396" s="2"/>
    </row>
    <row r="397" spans="10:10" s="28" customFormat="1" ht="13.9" customHeight="1" x14ac:dyDescent="0.2">
      <c r="J397" s="2"/>
    </row>
    <row r="398" spans="10:10" s="28" customFormat="1" ht="13.9" customHeight="1" x14ac:dyDescent="0.2">
      <c r="J398" s="2"/>
    </row>
    <row r="399" spans="10:10" s="28" customFormat="1" ht="13.9" customHeight="1" x14ac:dyDescent="0.2">
      <c r="J399" s="2"/>
    </row>
    <row r="400" spans="10:10" s="28" customFormat="1" ht="13.9" customHeight="1" x14ac:dyDescent="0.2">
      <c r="J400" s="2"/>
    </row>
    <row r="401" spans="10:10" s="28" customFormat="1" ht="13.9" customHeight="1" x14ac:dyDescent="0.2">
      <c r="J401" s="2"/>
    </row>
    <row r="402" spans="10:10" s="28" customFormat="1" ht="13.9" customHeight="1" x14ac:dyDescent="0.2">
      <c r="J402" s="2"/>
    </row>
    <row r="403" spans="10:10" s="28" customFormat="1" ht="13.9" customHeight="1" x14ac:dyDescent="0.2">
      <c r="J403" s="2"/>
    </row>
    <row r="404" spans="10:10" s="28" customFormat="1" ht="13.9" customHeight="1" x14ac:dyDescent="0.2">
      <c r="J404" s="2"/>
    </row>
    <row r="405" spans="10:10" s="28" customFormat="1" ht="13.9" customHeight="1" x14ac:dyDescent="0.2">
      <c r="J405" s="2"/>
    </row>
    <row r="406" spans="10:10" s="28" customFormat="1" ht="13.9" customHeight="1" x14ac:dyDescent="0.2">
      <c r="J406" s="2"/>
    </row>
    <row r="407" spans="10:10" s="28" customFormat="1" ht="13.9" customHeight="1" x14ac:dyDescent="0.2">
      <c r="J407" s="2"/>
    </row>
    <row r="408" spans="10:10" s="28" customFormat="1" ht="13.9" customHeight="1" x14ac:dyDescent="0.2">
      <c r="J408" s="2"/>
    </row>
    <row r="409" spans="10:10" s="28" customFormat="1" ht="13.9" customHeight="1" x14ac:dyDescent="0.2">
      <c r="J409" s="2"/>
    </row>
    <row r="410" spans="10:10" s="28" customFormat="1" ht="13.9" customHeight="1" x14ac:dyDescent="0.2">
      <c r="J410" s="2"/>
    </row>
    <row r="411" spans="10:10" s="28" customFormat="1" ht="13.9" customHeight="1" x14ac:dyDescent="0.2">
      <c r="J411" s="2"/>
    </row>
    <row r="412" spans="10:10" s="28" customFormat="1" ht="13.9" customHeight="1" x14ac:dyDescent="0.2">
      <c r="J412" s="2"/>
    </row>
    <row r="413" spans="10:10" s="28" customFormat="1" ht="13.9" customHeight="1" x14ac:dyDescent="0.2">
      <c r="J413" s="2"/>
    </row>
    <row r="414" spans="10:10" s="28" customFormat="1" ht="13.9" customHeight="1" x14ac:dyDescent="0.2">
      <c r="J414" s="2"/>
    </row>
    <row r="415" spans="10:10" s="28" customFormat="1" ht="13.9" customHeight="1" x14ac:dyDescent="0.2">
      <c r="J415" s="2"/>
    </row>
    <row r="416" spans="10:10" s="28" customFormat="1" ht="13.9" customHeight="1" x14ac:dyDescent="0.2">
      <c r="J416" s="2"/>
    </row>
    <row r="417" spans="10:10" s="28" customFormat="1" ht="13.9" customHeight="1" x14ac:dyDescent="0.2">
      <c r="J417" s="2"/>
    </row>
    <row r="418" spans="10:10" s="28" customFormat="1" ht="13.9" customHeight="1" x14ac:dyDescent="0.2">
      <c r="J418" s="2"/>
    </row>
    <row r="419" spans="10:10" s="28" customFormat="1" ht="13.9" customHeight="1" x14ac:dyDescent="0.2">
      <c r="J419" s="2"/>
    </row>
    <row r="420" spans="10:10" s="28" customFormat="1" ht="13.9" customHeight="1" x14ac:dyDescent="0.2">
      <c r="J420" s="2"/>
    </row>
    <row r="421" spans="10:10" s="28" customFormat="1" ht="13.9" customHeight="1" x14ac:dyDescent="0.2">
      <c r="J421" s="2"/>
    </row>
    <row r="422" spans="10:10" s="28" customFormat="1" ht="13.9" customHeight="1" x14ac:dyDescent="0.2">
      <c r="J422" s="2"/>
    </row>
    <row r="423" spans="10:10" s="28" customFormat="1" ht="13.9" customHeight="1" x14ac:dyDescent="0.2">
      <c r="J423" s="2"/>
    </row>
    <row r="424" spans="10:10" s="28" customFormat="1" ht="13.9" customHeight="1" x14ac:dyDescent="0.2">
      <c r="J424" s="2"/>
    </row>
    <row r="425" spans="10:10" s="28" customFormat="1" ht="13.9" customHeight="1" x14ac:dyDescent="0.2">
      <c r="J425" s="2"/>
    </row>
    <row r="426" spans="10:10" s="28" customFormat="1" ht="13.9" customHeight="1" x14ac:dyDescent="0.2">
      <c r="J426" s="2"/>
    </row>
    <row r="427" spans="10:10" s="28" customFormat="1" ht="13.9" customHeight="1" x14ac:dyDescent="0.2">
      <c r="J427" s="2"/>
    </row>
    <row r="428" spans="10:10" s="28" customFormat="1" ht="13.9" customHeight="1" x14ac:dyDescent="0.2">
      <c r="J428" s="2"/>
    </row>
    <row r="429" spans="10:10" s="28" customFormat="1" ht="13.9" customHeight="1" x14ac:dyDescent="0.2">
      <c r="J429" s="2"/>
    </row>
    <row r="430" spans="10:10" s="28" customFormat="1" ht="13.9" customHeight="1" x14ac:dyDescent="0.2">
      <c r="J430" s="2"/>
    </row>
    <row r="431" spans="10:10" s="28" customFormat="1" ht="13.9" customHeight="1" x14ac:dyDescent="0.2">
      <c r="J431" s="2"/>
    </row>
    <row r="432" spans="10:10" s="28" customFormat="1" ht="13.9" customHeight="1" x14ac:dyDescent="0.2">
      <c r="J432" s="2"/>
    </row>
    <row r="433" spans="10:10" s="28" customFormat="1" ht="13.9" customHeight="1" x14ac:dyDescent="0.2">
      <c r="J433" s="2"/>
    </row>
    <row r="434" spans="10:10" s="28" customFormat="1" ht="13.9" customHeight="1" x14ac:dyDescent="0.2">
      <c r="J434" s="2"/>
    </row>
    <row r="435" spans="10:10" s="28" customFormat="1" ht="13.9" customHeight="1" x14ac:dyDescent="0.2">
      <c r="J435" s="2"/>
    </row>
    <row r="436" spans="10:10" s="28" customFormat="1" ht="13.9" customHeight="1" x14ac:dyDescent="0.2">
      <c r="J436" s="2"/>
    </row>
    <row r="437" spans="10:10" s="28" customFormat="1" ht="13.9" customHeight="1" x14ac:dyDescent="0.2">
      <c r="J437" s="2"/>
    </row>
    <row r="438" spans="10:10" s="28" customFormat="1" ht="13.9" customHeight="1" x14ac:dyDescent="0.2">
      <c r="J438" s="2"/>
    </row>
    <row r="439" spans="10:10" s="28" customFormat="1" ht="13.9" customHeight="1" x14ac:dyDescent="0.2">
      <c r="J439" s="2"/>
    </row>
    <row r="440" spans="10:10" s="28" customFormat="1" ht="13.9" customHeight="1" x14ac:dyDescent="0.2">
      <c r="J440" s="2"/>
    </row>
    <row r="441" spans="10:10" s="28" customFormat="1" ht="13.9" customHeight="1" x14ac:dyDescent="0.2">
      <c r="J441" s="2"/>
    </row>
    <row r="442" spans="10:10" s="28" customFormat="1" ht="13.9" customHeight="1" x14ac:dyDescent="0.2">
      <c r="J442" s="2"/>
    </row>
    <row r="443" spans="10:10" s="28" customFormat="1" ht="13.9" customHeight="1" x14ac:dyDescent="0.2">
      <c r="J443" s="2"/>
    </row>
    <row r="444" spans="10:10" s="28" customFormat="1" ht="13.9" customHeight="1" x14ac:dyDescent="0.2">
      <c r="J444" s="2"/>
    </row>
    <row r="445" spans="10:10" s="28" customFormat="1" ht="13.9" customHeight="1" x14ac:dyDescent="0.2">
      <c r="J445" s="2"/>
    </row>
    <row r="446" spans="10:10" s="28" customFormat="1" ht="13.9" customHeight="1" x14ac:dyDescent="0.2">
      <c r="J446" s="2"/>
    </row>
    <row r="447" spans="10:10" s="28" customFormat="1" ht="13.9" customHeight="1" x14ac:dyDescent="0.2">
      <c r="J447" s="2"/>
    </row>
    <row r="448" spans="10:10" s="28" customFormat="1" ht="13.9" customHeight="1" x14ac:dyDescent="0.2">
      <c r="J448" s="2"/>
    </row>
    <row r="449" spans="10:10" s="28" customFormat="1" ht="13.9" customHeight="1" x14ac:dyDescent="0.2">
      <c r="J449" s="2"/>
    </row>
    <row r="450" spans="10:10" s="28" customFormat="1" ht="13.9" customHeight="1" x14ac:dyDescent="0.2">
      <c r="J450" s="2"/>
    </row>
    <row r="451" spans="10:10" s="28" customFormat="1" ht="13.9" customHeight="1" x14ac:dyDescent="0.2">
      <c r="J451" s="2"/>
    </row>
    <row r="452" spans="10:10" s="28" customFormat="1" ht="13.9" customHeight="1" x14ac:dyDescent="0.2">
      <c r="J452" s="2"/>
    </row>
    <row r="453" spans="10:10" s="28" customFormat="1" ht="13.9" customHeight="1" x14ac:dyDescent="0.2">
      <c r="J453" s="2"/>
    </row>
    <row r="454" spans="10:10" s="28" customFormat="1" ht="13.9" customHeight="1" x14ac:dyDescent="0.2">
      <c r="J454" s="2"/>
    </row>
    <row r="455" spans="10:10" s="28" customFormat="1" ht="13.9" customHeight="1" x14ac:dyDescent="0.2">
      <c r="J455" s="2"/>
    </row>
    <row r="456" spans="10:10" s="28" customFormat="1" ht="13.9" customHeight="1" x14ac:dyDescent="0.2">
      <c r="J456" s="2"/>
    </row>
    <row r="457" spans="10:10" s="28" customFormat="1" ht="13.9" customHeight="1" x14ac:dyDescent="0.2">
      <c r="J457" s="2"/>
    </row>
    <row r="458" spans="10:10" s="28" customFormat="1" ht="13.9" customHeight="1" x14ac:dyDescent="0.2">
      <c r="J458" s="2"/>
    </row>
    <row r="459" spans="10:10" s="28" customFormat="1" ht="13.9" customHeight="1" x14ac:dyDescent="0.2">
      <c r="J459" s="2"/>
    </row>
    <row r="460" spans="10:10" s="28" customFormat="1" ht="13.9" customHeight="1" x14ac:dyDescent="0.2">
      <c r="J460" s="2"/>
    </row>
  </sheetData>
  <sheetProtection algorithmName="SHA-512" hashValue="VhwZtIiPtMSqiv7iYAqsFY4Hpe3yhveLc8KdnMz3wD6vPxpYqFrL/Z61eOJFUI9GmfrWSxt6RJdqeJuNT/hWgQ==" saltValue="VIowD5P3a5uL45RSdTMMnQ==" spinCount="100000" sheet="1" objects="1" scenarios="1"/>
  <mergeCells count="34">
    <mergeCell ref="S50:T50"/>
    <mergeCell ref="K50:K51"/>
    <mergeCell ref="P50:Q50"/>
    <mergeCell ref="L51:M51"/>
    <mergeCell ref="K53:L53"/>
    <mergeCell ref="N56:O56"/>
    <mergeCell ref="K58:L58"/>
    <mergeCell ref="K47:K48"/>
    <mergeCell ref="P37:Q37"/>
    <mergeCell ref="L38:M38"/>
    <mergeCell ref="O38:P38"/>
    <mergeCell ref="K40:L40"/>
    <mergeCell ref="K45:L45"/>
    <mergeCell ref="M44:M45"/>
    <mergeCell ref="N45:O45"/>
    <mergeCell ref="P44:P45"/>
    <mergeCell ref="K33:K34"/>
    <mergeCell ref="K37:K38"/>
    <mergeCell ref="L30:L31"/>
    <mergeCell ref="M31:N31"/>
    <mergeCell ref="O30:O31"/>
    <mergeCell ref="M21:N21"/>
    <mergeCell ref="Q21:R21"/>
    <mergeCell ref="K24:L24"/>
    <mergeCell ref="K11:L11"/>
    <mergeCell ref="K12:L12"/>
    <mergeCell ref="K13:L13"/>
    <mergeCell ref="K16:L16"/>
    <mergeCell ref="K10:L10"/>
    <mergeCell ref="A1:X1"/>
    <mergeCell ref="K7:L7"/>
    <mergeCell ref="K6:L6"/>
    <mergeCell ref="K9:L9"/>
    <mergeCell ref="K8:L8"/>
  </mergeCells>
  <printOptions gridLines="1"/>
  <pageMargins left="0.7" right="0.45" top="0.5" bottom="0.5" header="0.3" footer="0.3"/>
  <pageSetup orientation="portrait" r:id="rId1"/>
  <headerFooter>
    <oddFooter>&amp;CPage &amp;P+1 of 9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467"/>
  <sheetViews>
    <sheetView zoomScale="115" zoomScaleNormal="115" workbookViewId="0">
      <selection activeCell="A4" sqref="A4"/>
    </sheetView>
  </sheetViews>
  <sheetFormatPr defaultRowHeight="12.75" x14ac:dyDescent="0.2"/>
  <cols>
    <col min="1" max="9" width="3.28515625" customWidth="1"/>
    <col min="10" max="10" width="3.28515625" style="50" customWidth="1"/>
    <col min="11" max="12" width="3.28515625" customWidth="1"/>
    <col min="13" max="13" width="3.140625" customWidth="1"/>
    <col min="14" max="31" width="3.28515625" customWidth="1"/>
  </cols>
  <sheetData>
    <row r="1" spans="1:28" s="76" customFormat="1" ht="13.9" customHeight="1" x14ac:dyDescent="0.2">
      <c r="A1" s="165" t="s">
        <v>123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77"/>
      <c r="Z1" s="77"/>
      <c r="AA1" s="77"/>
      <c r="AB1" s="78"/>
    </row>
    <row r="2" spans="1:28" s="76" customFormat="1" ht="13.9" customHeight="1" x14ac:dyDescent="0.2">
      <c r="A2" s="79"/>
      <c r="B2" s="80"/>
      <c r="C2" s="80"/>
      <c r="D2" s="80"/>
      <c r="E2" s="80"/>
      <c r="F2" s="80"/>
      <c r="G2" s="80"/>
      <c r="H2" s="80"/>
      <c r="I2" s="80"/>
      <c r="J2" s="81" t="s">
        <v>124</v>
      </c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2"/>
      <c r="Z2" s="82"/>
      <c r="AA2" s="82"/>
      <c r="AB2" s="83"/>
    </row>
    <row r="3" spans="1:28" s="76" customFormat="1" ht="13.9" customHeight="1" x14ac:dyDescent="0.2">
      <c r="A3" s="79"/>
      <c r="B3" s="80"/>
      <c r="C3" s="80"/>
      <c r="D3" s="80"/>
      <c r="E3" s="80"/>
      <c r="F3" s="80"/>
      <c r="G3" s="80"/>
      <c r="H3" s="80"/>
      <c r="I3" s="80"/>
      <c r="J3" s="81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2"/>
      <c r="Z3" s="82"/>
      <c r="AA3" s="82"/>
      <c r="AB3" s="83"/>
    </row>
    <row r="4" spans="1:28" s="76" customFormat="1" ht="13.9" customHeight="1" x14ac:dyDescent="0.2">
      <c r="A4" s="84" t="s">
        <v>138</v>
      </c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2"/>
      <c r="Z4" s="82"/>
      <c r="AA4" s="82"/>
      <c r="AB4" s="83"/>
    </row>
    <row r="5" spans="1:28" s="28" customFormat="1" ht="13.9" customHeight="1" x14ac:dyDescent="0.2">
      <c r="A5" s="117"/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52"/>
      <c r="Z5" s="52"/>
      <c r="AA5" s="52"/>
      <c r="AB5" s="88"/>
    </row>
    <row r="6" spans="1:28" s="28" customFormat="1" ht="16.899999999999999" customHeight="1" x14ac:dyDescent="0.2">
      <c r="A6" s="89" t="s">
        <v>11</v>
      </c>
      <c r="B6" s="52"/>
      <c r="C6" s="52"/>
      <c r="D6" s="52"/>
      <c r="E6" s="52"/>
      <c r="F6" s="52"/>
      <c r="G6" s="90"/>
      <c r="H6" s="52"/>
      <c r="I6" s="52"/>
      <c r="J6" s="91" t="s">
        <v>79</v>
      </c>
      <c r="K6" s="168" t="s">
        <v>80</v>
      </c>
      <c r="L6" s="168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88"/>
    </row>
    <row r="7" spans="1:28" s="28" customFormat="1" ht="16.899999999999999" customHeight="1" x14ac:dyDescent="0.2">
      <c r="A7" s="89" t="s">
        <v>84</v>
      </c>
      <c r="B7" s="52"/>
      <c r="C7" s="52"/>
      <c r="D7" s="52"/>
      <c r="E7" s="52"/>
      <c r="F7" s="52"/>
      <c r="G7" s="52"/>
      <c r="H7" s="52"/>
      <c r="I7" s="52" t="s">
        <v>85</v>
      </c>
      <c r="J7" s="75" t="s">
        <v>79</v>
      </c>
      <c r="K7" s="167">
        <v>60.3</v>
      </c>
      <c r="L7" s="167"/>
      <c r="M7" s="52"/>
      <c r="N7" s="52"/>
      <c r="O7" s="52"/>
      <c r="P7" s="52" t="s">
        <v>3</v>
      </c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88"/>
    </row>
    <row r="8" spans="1:28" s="28" customFormat="1" ht="16.899999999999999" customHeight="1" x14ac:dyDescent="0.2">
      <c r="A8" s="89" t="s">
        <v>86</v>
      </c>
      <c r="B8" s="52"/>
      <c r="C8" s="52"/>
      <c r="D8" s="52"/>
      <c r="E8" s="52"/>
      <c r="F8" s="52"/>
      <c r="G8" s="52"/>
      <c r="H8" s="52"/>
      <c r="I8" s="52"/>
      <c r="J8" s="75" t="s">
        <v>79</v>
      </c>
      <c r="K8" s="167" t="s">
        <v>7</v>
      </c>
      <c r="L8" s="167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88"/>
    </row>
    <row r="9" spans="1:28" s="28" customFormat="1" ht="16.899999999999999" customHeight="1" x14ac:dyDescent="0.2">
      <c r="A9" s="89" t="s">
        <v>87</v>
      </c>
      <c r="B9" s="52"/>
      <c r="C9" s="52"/>
      <c r="D9" s="52"/>
      <c r="E9" s="52"/>
      <c r="F9" s="52"/>
      <c r="G9" s="52"/>
      <c r="H9" s="52"/>
      <c r="I9" s="52" t="s">
        <v>88</v>
      </c>
      <c r="J9" s="75" t="s">
        <v>79</v>
      </c>
      <c r="K9" s="169">
        <v>3.91</v>
      </c>
      <c r="L9" s="169"/>
      <c r="M9" s="52"/>
      <c r="N9" s="52"/>
      <c r="O9" s="52"/>
      <c r="P9" s="52" t="s">
        <v>3</v>
      </c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88"/>
    </row>
    <row r="10" spans="1:28" s="28" customFormat="1" ht="16.899999999999999" customHeight="1" x14ac:dyDescent="0.2">
      <c r="A10" s="89" t="s">
        <v>89</v>
      </c>
      <c r="B10" s="52"/>
      <c r="C10" s="52"/>
      <c r="D10" s="52"/>
      <c r="E10" s="52"/>
      <c r="F10" s="52"/>
      <c r="G10" s="52"/>
      <c r="H10" s="52"/>
      <c r="I10" s="52" t="s">
        <v>90</v>
      </c>
      <c r="J10" s="75" t="s">
        <v>79</v>
      </c>
      <c r="K10" s="164">
        <f>K7-2*K9</f>
        <v>52.48</v>
      </c>
      <c r="L10" s="164"/>
      <c r="M10" s="52"/>
      <c r="N10" s="52"/>
      <c r="O10" s="52"/>
      <c r="P10" s="52" t="s">
        <v>3</v>
      </c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88"/>
    </row>
    <row r="11" spans="1:28" s="28" customFormat="1" ht="16.899999999999999" customHeight="1" x14ac:dyDescent="0.2">
      <c r="A11" s="89" t="s">
        <v>91</v>
      </c>
      <c r="B11" s="52"/>
      <c r="C11" s="52"/>
      <c r="D11" s="52"/>
      <c r="E11" s="52"/>
      <c r="F11" s="52"/>
      <c r="G11" s="52"/>
      <c r="H11" s="52"/>
      <c r="I11" s="52" t="s">
        <v>92</v>
      </c>
      <c r="J11" s="75" t="s">
        <v>79</v>
      </c>
      <c r="K11" s="172">
        <v>210000</v>
      </c>
      <c r="L11" s="172"/>
      <c r="M11" s="52"/>
      <c r="N11" s="52"/>
      <c r="O11" s="52"/>
      <c r="P11" s="52" t="s">
        <v>81</v>
      </c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88"/>
    </row>
    <row r="12" spans="1:28" s="28" customFormat="1" ht="16.899999999999999" customHeight="1" x14ac:dyDescent="0.2">
      <c r="A12" s="89" t="s">
        <v>1</v>
      </c>
      <c r="B12" s="52"/>
      <c r="C12" s="52"/>
      <c r="D12" s="52"/>
      <c r="E12" s="52"/>
      <c r="F12" s="52"/>
      <c r="G12" s="52"/>
      <c r="H12" s="52"/>
      <c r="I12" s="92" t="s">
        <v>85</v>
      </c>
      <c r="J12" s="75" t="s">
        <v>79</v>
      </c>
      <c r="K12" s="168">
        <v>10</v>
      </c>
      <c r="L12" s="168"/>
      <c r="M12" s="52"/>
      <c r="N12" s="52"/>
      <c r="O12" s="52"/>
      <c r="P12" s="52" t="s">
        <v>3</v>
      </c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88"/>
    </row>
    <row r="13" spans="1:28" s="28" customFormat="1" ht="16.899999999999999" customHeight="1" x14ac:dyDescent="0.2">
      <c r="A13" s="89" t="s">
        <v>2</v>
      </c>
      <c r="B13" s="52"/>
      <c r="C13" s="52"/>
      <c r="D13" s="52"/>
      <c r="E13" s="52"/>
      <c r="F13" s="52"/>
      <c r="G13" s="52"/>
      <c r="H13" s="52"/>
      <c r="I13" s="52" t="s">
        <v>93</v>
      </c>
      <c r="J13" s="75" t="s">
        <v>79</v>
      </c>
      <c r="K13" s="168">
        <v>40</v>
      </c>
      <c r="L13" s="168"/>
      <c r="M13" s="52"/>
      <c r="N13" s="52"/>
      <c r="O13" s="52"/>
      <c r="P13" s="52" t="s">
        <v>81</v>
      </c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88"/>
    </row>
    <row r="14" spans="1:28" s="28" customFormat="1" ht="16.899999999999999" customHeight="1" x14ac:dyDescent="0.2">
      <c r="A14" s="89" t="s">
        <v>18</v>
      </c>
      <c r="B14" s="52"/>
      <c r="C14" s="52"/>
      <c r="D14" s="52"/>
      <c r="E14" s="52"/>
      <c r="F14" s="52"/>
      <c r="G14" s="52"/>
      <c r="H14" s="52"/>
      <c r="I14" s="52"/>
      <c r="J14" s="75"/>
      <c r="K14" s="168">
        <v>150</v>
      </c>
      <c r="L14" s="168"/>
      <c r="M14" s="52"/>
      <c r="N14" s="52"/>
      <c r="O14" s="52"/>
      <c r="P14" s="52" t="s">
        <v>125</v>
      </c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88"/>
    </row>
    <row r="15" spans="1:28" s="28" customFormat="1" ht="16.899999999999999" customHeight="1" x14ac:dyDescent="0.2">
      <c r="A15" s="89" t="s">
        <v>126</v>
      </c>
      <c r="B15" s="52"/>
      <c r="C15" s="52"/>
      <c r="D15" s="52"/>
      <c r="E15" s="52"/>
      <c r="F15" s="52"/>
      <c r="G15" s="52"/>
      <c r="H15" s="52"/>
      <c r="I15" s="52"/>
      <c r="J15" s="75"/>
      <c r="K15" s="118">
        <v>50</v>
      </c>
      <c r="L15" s="118"/>
      <c r="M15" s="52"/>
      <c r="N15" s="52"/>
      <c r="O15" s="52"/>
      <c r="P15" s="52" t="s">
        <v>3</v>
      </c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88"/>
    </row>
    <row r="16" spans="1:28" s="69" customFormat="1" ht="16.899999999999999" customHeight="1" x14ac:dyDescent="0.2">
      <c r="A16" s="119"/>
      <c r="B16" s="103"/>
      <c r="C16" s="103"/>
      <c r="D16" s="103"/>
      <c r="E16" s="103"/>
      <c r="F16" s="103"/>
      <c r="G16" s="103"/>
      <c r="H16" s="103"/>
      <c r="I16" s="103"/>
      <c r="J16" s="74"/>
      <c r="K16" s="120"/>
      <c r="L16" s="120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21"/>
    </row>
    <row r="17" spans="1:28" s="28" customFormat="1" ht="13.9" customHeight="1" x14ac:dyDescent="0.2">
      <c r="A17" s="93" t="s">
        <v>120</v>
      </c>
      <c r="B17" s="52"/>
      <c r="C17" s="52"/>
      <c r="D17" s="52"/>
      <c r="E17" s="52"/>
      <c r="F17" s="52"/>
      <c r="G17" s="52"/>
      <c r="H17" s="52"/>
      <c r="I17" s="52"/>
      <c r="J17" s="75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88"/>
    </row>
    <row r="18" spans="1:28" s="28" customFormat="1" ht="13.9" customHeight="1" x14ac:dyDescent="0.2">
      <c r="A18" s="93"/>
      <c r="B18" s="52"/>
      <c r="C18" s="52"/>
      <c r="D18" s="52"/>
      <c r="E18" s="52"/>
      <c r="F18" s="52"/>
      <c r="G18" s="52"/>
      <c r="H18" s="52"/>
      <c r="I18" s="52"/>
      <c r="J18" s="75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88"/>
    </row>
    <row r="19" spans="1:28" s="28" customFormat="1" ht="13.9" customHeight="1" x14ac:dyDescent="0.2">
      <c r="A19" s="89" t="s">
        <v>130</v>
      </c>
      <c r="B19" s="52"/>
      <c r="C19" s="52"/>
      <c r="D19" s="52"/>
      <c r="E19" s="52"/>
      <c r="F19" s="52"/>
      <c r="G19" s="52"/>
      <c r="H19" s="52"/>
      <c r="I19" s="52"/>
      <c r="J19" s="75" t="s">
        <v>79</v>
      </c>
      <c r="K19" s="173">
        <f>(3.1428*(K7^2-K10^2)/4)*7.85*9.81/1000</f>
        <v>53.362265655961629</v>
      </c>
      <c r="L19" s="173"/>
      <c r="M19" s="52"/>
      <c r="N19" s="52"/>
      <c r="O19" s="52"/>
      <c r="P19" s="52" t="s">
        <v>25</v>
      </c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88"/>
    </row>
    <row r="20" spans="1:28" s="28" customFormat="1" ht="13.9" customHeight="1" x14ac:dyDescent="0.2">
      <c r="A20" s="93"/>
      <c r="B20" s="52"/>
      <c r="C20" s="52"/>
      <c r="D20" s="52"/>
      <c r="E20" s="52"/>
      <c r="F20" s="52"/>
      <c r="G20" s="52"/>
      <c r="H20" s="52"/>
      <c r="I20" s="52"/>
      <c r="J20" s="75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88"/>
    </row>
    <row r="21" spans="1:28" s="28" customFormat="1" ht="13.9" customHeight="1" x14ac:dyDescent="0.2">
      <c r="A21" s="89" t="s">
        <v>131</v>
      </c>
      <c r="B21" s="52"/>
      <c r="C21" s="52"/>
      <c r="D21" s="52"/>
      <c r="E21" s="52"/>
      <c r="F21" s="52"/>
      <c r="G21" s="52"/>
      <c r="H21" s="52"/>
      <c r="I21" s="52"/>
      <c r="J21" s="75" t="s">
        <v>79</v>
      </c>
      <c r="K21" s="173">
        <f>(3.1428*(K7+K15)*K15)*K14*9.81/1000000</f>
        <v>25.504835552999999</v>
      </c>
      <c r="L21" s="173"/>
      <c r="M21" s="52"/>
      <c r="N21" s="52"/>
      <c r="O21" s="52"/>
      <c r="P21" s="52" t="s">
        <v>25</v>
      </c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88"/>
    </row>
    <row r="22" spans="1:28" s="28" customFormat="1" ht="13.9" customHeight="1" x14ac:dyDescent="0.2">
      <c r="A22" s="93"/>
      <c r="B22" s="52"/>
      <c r="C22" s="52"/>
      <c r="D22" s="52"/>
      <c r="E22" s="52"/>
      <c r="F22" s="52"/>
      <c r="G22" s="52"/>
      <c r="H22" s="52"/>
      <c r="I22" s="52"/>
      <c r="J22" s="75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88"/>
    </row>
    <row r="23" spans="1:28" s="28" customFormat="1" ht="13.9" customHeight="1" x14ac:dyDescent="0.2">
      <c r="A23" s="89" t="s">
        <v>127</v>
      </c>
      <c r="B23" s="52"/>
      <c r="C23" s="52"/>
      <c r="D23" s="52"/>
      <c r="E23" s="52"/>
      <c r="F23" s="52"/>
      <c r="G23" s="52"/>
      <c r="H23" s="52"/>
      <c r="I23" s="52" t="s">
        <v>101</v>
      </c>
      <c r="J23" s="75" t="s">
        <v>79</v>
      </c>
      <c r="K23" s="173">
        <f>K19+K21</f>
        <v>78.867101208961628</v>
      </c>
      <c r="L23" s="173"/>
      <c r="M23" s="52"/>
      <c r="N23" s="52"/>
      <c r="O23" s="52"/>
      <c r="P23" s="52" t="s">
        <v>25</v>
      </c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88"/>
    </row>
    <row r="24" spans="1:28" s="28" customFormat="1" ht="13.9" customHeight="1" x14ac:dyDescent="0.2">
      <c r="A24" s="89"/>
      <c r="B24" s="52"/>
      <c r="C24" s="52"/>
      <c r="D24" s="52"/>
      <c r="E24" s="52"/>
      <c r="F24" s="52"/>
      <c r="G24" s="52"/>
      <c r="H24" s="52"/>
      <c r="I24" s="52"/>
      <c r="J24" s="75"/>
      <c r="K24" s="94"/>
      <c r="L24" s="94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88"/>
    </row>
    <row r="25" spans="1:28" s="28" customFormat="1" ht="13.9" customHeight="1" x14ac:dyDescent="0.2">
      <c r="A25" s="89"/>
      <c r="B25" s="52"/>
      <c r="C25" s="52"/>
      <c r="D25" s="52"/>
      <c r="E25" s="52"/>
      <c r="F25" s="52"/>
      <c r="G25" s="52"/>
      <c r="H25" s="52"/>
      <c r="I25" s="52"/>
      <c r="J25" s="75"/>
      <c r="K25" s="52" t="s">
        <v>83</v>
      </c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88"/>
    </row>
    <row r="26" spans="1:28" s="28" customFormat="1" ht="13.9" customHeight="1" x14ac:dyDescent="0.2">
      <c r="A26" s="89" t="s">
        <v>82</v>
      </c>
      <c r="B26" s="52"/>
      <c r="C26" s="52"/>
      <c r="D26" s="52"/>
      <c r="E26" s="52"/>
      <c r="F26" s="52"/>
      <c r="G26" s="52"/>
      <c r="H26" s="52"/>
      <c r="I26" s="52" t="s">
        <v>94</v>
      </c>
      <c r="J26" s="75" t="s">
        <v>79</v>
      </c>
      <c r="K26" s="51"/>
      <c r="L26" s="51">
        <v>64</v>
      </c>
      <c r="M26" s="51"/>
      <c r="N26" s="52"/>
      <c r="O26" s="52"/>
      <c r="P26" s="52" t="s">
        <v>95</v>
      </c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88"/>
    </row>
    <row r="27" spans="1:28" s="28" customFormat="1" ht="13.9" customHeight="1" x14ac:dyDescent="0.2">
      <c r="A27" s="89"/>
      <c r="B27" s="52"/>
      <c r="C27" s="52"/>
      <c r="D27" s="52"/>
      <c r="E27" s="52"/>
      <c r="F27" s="52"/>
      <c r="G27" s="52"/>
      <c r="H27" s="52"/>
      <c r="I27" s="52"/>
      <c r="J27" s="75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88"/>
    </row>
    <row r="28" spans="1:28" s="28" customFormat="1" ht="13.9" customHeight="1" x14ac:dyDescent="0.2">
      <c r="A28" s="89"/>
      <c r="B28" s="52"/>
      <c r="C28" s="52"/>
      <c r="D28" s="52"/>
      <c r="E28" s="52"/>
      <c r="F28" s="52"/>
      <c r="G28" s="52"/>
      <c r="H28" s="52"/>
      <c r="I28" s="52"/>
      <c r="J28" s="75" t="s">
        <v>79</v>
      </c>
      <c r="K28" s="52" t="s">
        <v>96</v>
      </c>
      <c r="L28" s="52"/>
      <c r="M28" s="170" t="str">
        <f>CONCATENATE("(",K7)</f>
        <v>(60.3</v>
      </c>
      <c r="N28" s="170"/>
      <c r="O28" s="95">
        <v>4</v>
      </c>
      <c r="P28" s="52" t="s">
        <v>6</v>
      </c>
      <c r="Q28" s="170" t="str">
        <f>CONCATENATE(K10,)</f>
        <v>52.48</v>
      </c>
      <c r="R28" s="170"/>
      <c r="S28" s="95" t="s">
        <v>141</v>
      </c>
      <c r="T28" s="52"/>
      <c r="U28" s="52"/>
      <c r="V28" s="52"/>
      <c r="W28" s="52"/>
      <c r="X28" s="52"/>
      <c r="Y28" s="52"/>
      <c r="Z28" s="52"/>
      <c r="AA28" s="52"/>
      <c r="AB28" s="88"/>
    </row>
    <row r="29" spans="1:28" s="28" customFormat="1" ht="13.9" customHeight="1" x14ac:dyDescent="0.2">
      <c r="A29" s="89"/>
      <c r="B29" s="52"/>
      <c r="C29" s="52"/>
      <c r="D29" s="52"/>
      <c r="E29" s="52"/>
      <c r="F29" s="52"/>
      <c r="G29" s="52"/>
      <c r="H29" s="52"/>
      <c r="I29" s="52"/>
      <c r="J29" s="75"/>
      <c r="K29" s="51"/>
      <c r="L29" s="51"/>
      <c r="M29" s="51"/>
      <c r="N29" s="51">
        <v>64</v>
      </c>
      <c r="O29" s="51"/>
      <c r="P29" s="51"/>
      <c r="Q29" s="51"/>
      <c r="R29" s="51"/>
      <c r="S29" s="51"/>
      <c r="T29" s="52"/>
      <c r="U29" s="52"/>
      <c r="V29" s="52"/>
      <c r="W29" s="52"/>
      <c r="X29" s="52"/>
      <c r="Y29" s="52"/>
      <c r="Z29" s="52"/>
      <c r="AA29" s="52"/>
      <c r="AB29" s="88"/>
    </row>
    <row r="30" spans="1:28" s="28" customFormat="1" ht="13.9" customHeight="1" x14ac:dyDescent="0.2">
      <c r="A30" s="89"/>
      <c r="B30" s="52"/>
      <c r="C30" s="52"/>
      <c r="D30" s="52"/>
      <c r="E30" s="52"/>
      <c r="F30" s="52"/>
      <c r="G30" s="52"/>
      <c r="H30" s="52"/>
      <c r="I30" s="52"/>
      <c r="J30" s="75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88"/>
    </row>
    <row r="31" spans="1:28" s="28" customFormat="1" ht="13.9" customHeight="1" x14ac:dyDescent="0.2">
      <c r="A31" s="89"/>
      <c r="B31" s="52"/>
      <c r="C31" s="52"/>
      <c r="D31" s="52"/>
      <c r="E31" s="52"/>
      <c r="F31" s="52"/>
      <c r="G31" s="52"/>
      <c r="H31" s="52"/>
      <c r="I31" s="52" t="s">
        <v>94</v>
      </c>
      <c r="J31" s="75" t="s">
        <v>79</v>
      </c>
      <c r="K31" s="171">
        <f>(3.143*(K7^4-K10^4))/64/10000</f>
        <v>27.677091333977401</v>
      </c>
      <c r="L31" s="171"/>
      <c r="M31" s="52"/>
      <c r="N31" s="52"/>
      <c r="O31" s="52"/>
      <c r="P31" s="52" t="s">
        <v>110</v>
      </c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88"/>
    </row>
    <row r="32" spans="1:28" s="28" customFormat="1" ht="13.9" customHeight="1" x14ac:dyDescent="0.2">
      <c r="A32" s="89"/>
      <c r="B32" s="52"/>
      <c r="C32" s="52"/>
      <c r="D32" s="52"/>
      <c r="E32" s="52"/>
      <c r="F32" s="52"/>
      <c r="G32" s="52"/>
      <c r="H32" s="52"/>
      <c r="I32" s="52"/>
      <c r="J32" s="75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88"/>
    </row>
    <row r="33" spans="1:28" s="28" customFormat="1" ht="13.9" customHeight="1" x14ac:dyDescent="0.2">
      <c r="A33" s="93" t="s">
        <v>120</v>
      </c>
      <c r="B33" s="52"/>
      <c r="C33" s="52"/>
      <c r="D33" s="52"/>
      <c r="E33" s="52"/>
      <c r="F33" s="52"/>
      <c r="G33" s="52"/>
      <c r="H33" s="52"/>
      <c r="I33" s="52"/>
      <c r="J33" s="75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88"/>
    </row>
    <row r="34" spans="1:28" s="28" customFormat="1" ht="13.9" customHeight="1" x14ac:dyDescent="0.2">
      <c r="A34" s="89"/>
      <c r="B34" s="52"/>
      <c r="C34" s="52"/>
      <c r="D34" s="52"/>
      <c r="E34" s="52"/>
      <c r="F34" s="52"/>
      <c r="G34" s="52"/>
      <c r="H34" s="52"/>
      <c r="I34" s="52"/>
      <c r="J34" s="75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88"/>
    </row>
    <row r="35" spans="1:28" s="28" customFormat="1" ht="13.9" customHeight="1" x14ac:dyDescent="0.2">
      <c r="A35" s="97" t="s">
        <v>97</v>
      </c>
      <c r="B35" s="52"/>
      <c r="C35" s="52"/>
      <c r="D35" s="52"/>
      <c r="E35" s="52"/>
      <c r="F35" s="52"/>
      <c r="G35" s="52"/>
      <c r="H35" s="52"/>
      <c r="I35" s="52"/>
      <c r="J35" s="75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88"/>
    </row>
    <row r="36" spans="1:28" s="28" customFormat="1" ht="13.9" customHeight="1" x14ac:dyDescent="0.2">
      <c r="A36" s="89"/>
      <c r="B36" s="52"/>
      <c r="C36" s="52"/>
      <c r="D36" s="52"/>
      <c r="E36" s="52"/>
      <c r="F36" s="52"/>
      <c r="G36" s="52"/>
      <c r="H36" s="52"/>
      <c r="I36" s="52"/>
      <c r="J36" s="75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88"/>
    </row>
    <row r="37" spans="1:28" s="28" customFormat="1" ht="13.9" customHeight="1" x14ac:dyDescent="0.2">
      <c r="A37" s="89"/>
      <c r="B37" s="52"/>
      <c r="C37" s="52"/>
      <c r="D37" s="52"/>
      <c r="E37" s="52"/>
      <c r="F37" s="52"/>
      <c r="G37" s="52"/>
      <c r="H37" s="52"/>
      <c r="I37" s="52"/>
      <c r="J37" s="75"/>
      <c r="K37" s="75" t="s">
        <v>85</v>
      </c>
      <c r="L37" s="175" t="s">
        <v>100</v>
      </c>
      <c r="M37" s="52" t="s">
        <v>102</v>
      </c>
      <c r="N37" s="52"/>
      <c r="O37" s="175" t="s">
        <v>103</v>
      </c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88"/>
    </row>
    <row r="38" spans="1:28" s="28" customFormat="1" ht="13.9" customHeight="1" x14ac:dyDescent="0.2">
      <c r="A38" s="89" t="s">
        <v>98</v>
      </c>
      <c r="B38" s="52"/>
      <c r="C38" s="52"/>
      <c r="D38" s="52"/>
      <c r="E38" s="52"/>
      <c r="F38" s="52"/>
      <c r="G38" s="52"/>
      <c r="H38" s="52"/>
      <c r="I38" s="52" t="s">
        <v>99</v>
      </c>
      <c r="J38" s="75" t="s">
        <v>79</v>
      </c>
      <c r="K38" s="53" t="s">
        <v>94</v>
      </c>
      <c r="L38" s="175"/>
      <c r="M38" s="176">
        <v>240</v>
      </c>
      <c r="N38" s="176"/>
      <c r="O38" s="175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88"/>
    </row>
    <row r="39" spans="1:28" s="28" customFormat="1" ht="13.9" customHeight="1" x14ac:dyDescent="0.2">
      <c r="A39" s="89"/>
      <c r="B39" s="52"/>
      <c r="C39" s="52"/>
      <c r="D39" s="52"/>
      <c r="E39" s="52"/>
      <c r="F39" s="52"/>
      <c r="G39" s="52"/>
      <c r="H39" s="52"/>
      <c r="I39" s="52"/>
      <c r="J39" s="75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88"/>
    </row>
    <row r="40" spans="1:28" s="28" customFormat="1" ht="13.9" customHeight="1" x14ac:dyDescent="0.2">
      <c r="A40" s="89"/>
      <c r="B40" s="52"/>
      <c r="C40" s="52"/>
      <c r="D40" s="52"/>
      <c r="E40" s="52"/>
      <c r="F40" s="52"/>
      <c r="G40" s="52"/>
      <c r="H40" s="52"/>
      <c r="I40" s="52"/>
      <c r="J40" s="98">
        <v>2</v>
      </c>
      <c r="K40" s="174" t="s">
        <v>109</v>
      </c>
      <c r="L40" s="58" t="s">
        <v>107</v>
      </c>
      <c r="M40" s="55"/>
      <c r="N40" s="56" t="s">
        <v>99</v>
      </c>
      <c r="O40" s="56" t="s">
        <v>108</v>
      </c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88"/>
    </row>
    <row r="41" spans="1:28" s="28" customFormat="1" ht="13.9" customHeight="1" x14ac:dyDescent="0.2">
      <c r="A41" s="89" t="s">
        <v>104</v>
      </c>
      <c r="B41" s="52"/>
      <c r="C41" s="52"/>
      <c r="D41" s="52"/>
      <c r="E41" s="52"/>
      <c r="F41" s="52"/>
      <c r="G41" s="52"/>
      <c r="H41" s="52"/>
      <c r="I41" s="52" t="s">
        <v>105</v>
      </c>
      <c r="J41" s="75" t="s">
        <v>79</v>
      </c>
      <c r="K41" s="174"/>
      <c r="L41" s="54" t="s">
        <v>85</v>
      </c>
      <c r="M41" s="53" t="s">
        <v>106</v>
      </c>
      <c r="N41" s="51" t="s">
        <v>101</v>
      </c>
      <c r="O41" s="51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88"/>
    </row>
    <row r="42" spans="1:28" s="28" customFormat="1" ht="13.9" customHeight="1" x14ac:dyDescent="0.2">
      <c r="A42" s="89"/>
      <c r="B42" s="52"/>
      <c r="C42" s="52"/>
      <c r="D42" s="52"/>
      <c r="E42" s="52"/>
      <c r="F42" s="52"/>
      <c r="G42" s="52"/>
      <c r="H42" s="52"/>
      <c r="I42" s="52"/>
      <c r="J42" s="75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88"/>
    </row>
    <row r="43" spans="1:28" s="28" customFormat="1" ht="13.9" customHeight="1" x14ac:dyDescent="0.2">
      <c r="A43" s="89"/>
      <c r="B43" s="52"/>
      <c r="C43" s="52"/>
      <c r="D43" s="52"/>
      <c r="E43" s="52"/>
      <c r="F43" s="52"/>
      <c r="G43" s="52"/>
      <c r="H43" s="52"/>
      <c r="I43" s="52"/>
      <c r="J43" s="75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88"/>
    </row>
    <row r="44" spans="1:28" s="28" customFormat="1" ht="13.9" customHeight="1" x14ac:dyDescent="0.2">
      <c r="A44" s="89"/>
      <c r="B44" s="52"/>
      <c r="C44" s="52"/>
      <c r="D44" s="52"/>
      <c r="E44" s="52"/>
      <c r="F44" s="52"/>
      <c r="G44" s="52"/>
      <c r="H44" s="52"/>
      <c r="I44" s="52"/>
      <c r="J44" s="98">
        <v>2</v>
      </c>
      <c r="K44" s="174" t="s">
        <v>109</v>
      </c>
      <c r="L44" s="58" t="s">
        <v>107</v>
      </c>
      <c r="M44" s="55"/>
      <c r="N44" s="56">
        <f>K13</f>
        <v>40</v>
      </c>
      <c r="O44" s="51" t="s">
        <v>106</v>
      </c>
      <c r="P44" s="176">
        <f>K31</f>
        <v>27.677091333977401</v>
      </c>
      <c r="Q44" s="176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88"/>
    </row>
    <row r="45" spans="1:28" s="28" customFormat="1" ht="13.9" customHeight="1" x14ac:dyDescent="0.2">
      <c r="A45" s="89"/>
      <c r="B45" s="52"/>
      <c r="C45" s="52"/>
      <c r="D45" s="52"/>
      <c r="E45" s="52"/>
      <c r="F45" s="52"/>
      <c r="G45" s="52"/>
      <c r="H45" s="52"/>
      <c r="I45" s="52"/>
      <c r="J45" s="75" t="s">
        <v>79</v>
      </c>
      <c r="K45" s="174"/>
      <c r="L45" s="180">
        <f>K7</f>
        <v>60.3</v>
      </c>
      <c r="M45" s="180"/>
      <c r="N45" s="51" t="s">
        <v>106</v>
      </c>
      <c r="O45" s="181">
        <f>K23</f>
        <v>78.867101208961628</v>
      </c>
      <c r="P45" s="181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88"/>
    </row>
    <row r="46" spans="1:28" s="28" customFormat="1" ht="13.9" customHeight="1" thickBot="1" x14ac:dyDescent="0.25">
      <c r="A46" s="89"/>
      <c r="B46" s="52"/>
      <c r="C46" s="52"/>
      <c r="D46" s="52"/>
      <c r="E46" s="52"/>
      <c r="F46" s="52"/>
      <c r="G46" s="52"/>
      <c r="H46" s="52"/>
      <c r="I46" s="52"/>
      <c r="J46" s="75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88"/>
    </row>
    <row r="47" spans="1:28" s="28" customFormat="1" ht="13.9" customHeight="1" thickTop="1" thickBot="1" x14ac:dyDescent="0.25">
      <c r="A47" s="89" t="s">
        <v>104</v>
      </c>
      <c r="B47" s="52"/>
      <c r="C47" s="52"/>
      <c r="D47" s="52"/>
      <c r="E47" s="52"/>
      <c r="F47" s="52"/>
      <c r="G47" s="52"/>
      <c r="H47" s="52"/>
      <c r="I47" s="64" t="s">
        <v>105</v>
      </c>
      <c r="J47" s="65" t="s">
        <v>79</v>
      </c>
      <c r="K47" s="182">
        <f>SQRT((240*K13*K31)/(K7*K23))</f>
        <v>7.4746221701135322</v>
      </c>
      <c r="L47" s="182"/>
      <c r="M47" s="66" t="s">
        <v>111</v>
      </c>
      <c r="N47" s="52"/>
      <c r="O47" s="90" t="s">
        <v>112</v>
      </c>
      <c r="P47" s="52"/>
      <c r="Q47" s="52"/>
      <c r="R47" s="52"/>
      <c r="S47" s="67">
        <v>1</v>
      </c>
      <c r="T47" s="52"/>
      <c r="U47" s="52"/>
      <c r="V47" s="52"/>
      <c r="W47" s="52"/>
      <c r="X47" s="52"/>
      <c r="Y47" s="52"/>
      <c r="Z47" s="52"/>
      <c r="AA47" s="52"/>
      <c r="AB47" s="88"/>
    </row>
    <row r="48" spans="1:28" s="28" customFormat="1" ht="13.9" customHeight="1" thickTop="1" x14ac:dyDescent="0.2">
      <c r="A48" s="89"/>
      <c r="B48" s="52"/>
      <c r="C48" s="52"/>
      <c r="D48" s="52"/>
      <c r="E48" s="52"/>
      <c r="F48" s="52"/>
      <c r="G48" s="52"/>
      <c r="H48" s="52"/>
      <c r="I48" s="52"/>
      <c r="J48" s="75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88"/>
    </row>
    <row r="49" spans="1:28" s="28" customFormat="1" ht="13.9" customHeight="1" x14ac:dyDescent="0.2">
      <c r="A49" s="93" t="s">
        <v>120</v>
      </c>
      <c r="B49" s="52"/>
      <c r="C49" s="52"/>
      <c r="D49" s="52"/>
      <c r="E49" s="52"/>
      <c r="F49" s="52"/>
      <c r="G49" s="52"/>
      <c r="H49" s="52"/>
      <c r="I49" s="52"/>
      <c r="J49" s="75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88"/>
    </row>
    <row r="50" spans="1:28" s="28" customFormat="1" ht="13.9" customHeight="1" x14ac:dyDescent="0.2">
      <c r="A50" s="93"/>
      <c r="B50" s="52"/>
      <c r="C50" s="52"/>
      <c r="D50" s="52"/>
      <c r="E50" s="52"/>
      <c r="F50" s="52"/>
      <c r="G50" s="52"/>
      <c r="H50" s="52"/>
      <c r="I50" s="52"/>
      <c r="J50" s="75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88"/>
    </row>
    <row r="51" spans="1:28" s="28" customFormat="1" ht="13.9" customHeight="1" x14ac:dyDescent="0.2">
      <c r="A51" s="89" t="s">
        <v>113</v>
      </c>
      <c r="B51" s="52"/>
      <c r="C51" s="52"/>
      <c r="D51" s="52"/>
      <c r="E51" s="52"/>
      <c r="F51" s="52"/>
      <c r="G51" s="52"/>
      <c r="H51" s="52"/>
      <c r="I51" s="100" t="s">
        <v>114</v>
      </c>
      <c r="J51" s="75" t="s">
        <v>79</v>
      </c>
      <c r="K51" s="52">
        <v>10</v>
      </c>
      <c r="L51" s="101">
        <v>5</v>
      </c>
      <c r="M51" s="175" t="s">
        <v>100</v>
      </c>
      <c r="N51" s="52" t="s">
        <v>116</v>
      </c>
      <c r="O51" s="52"/>
      <c r="P51" s="175" t="s">
        <v>103</v>
      </c>
      <c r="Q51" s="10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88"/>
    </row>
    <row r="52" spans="1:28" s="28" customFormat="1" ht="13.9" customHeight="1" x14ac:dyDescent="0.2">
      <c r="A52" s="89"/>
      <c r="B52" s="52"/>
      <c r="C52" s="52"/>
      <c r="D52" s="52"/>
      <c r="E52" s="52"/>
      <c r="F52" s="52"/>
      <c r="G52" s="52"/>
      <c r="H52" s="52"/>
      <c r="I52" s="52"/>
      <c r="J52" s="75"/>
      <c r="K52" s="183" t="s">
        <v>115</v>
      </c>
      <c r="L52" s="183"/>
      <c r="M52" s="175"/>
      <c r="N52" s="176">
        <v>384</v>
      </c>
      <c r="O52" s="176"/>
      <c r="P52" s="175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88"/>
    </row>
    <row r="53" spans="1:28" s="28" customFormat="1" ht="13.9" customHeight="1" x14ac:dyDescent="0.2">
      <c r="A53" s="89"/>
      <c r="B53" s="52"/>
      <c r="C53" s="52"/>
      <c r="D53" s="52"/>
      <c r="E53" s="52"/>
      <c r="F53" s="52"/>
      <c r="G53" s="52"/>
      <c r="H53" s="52"/>
      <c r="I53" s="52"/>
      <c r="J53" s="75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88"/>
    </row>
    <row r="54" spans="1:28" s="28" customFormat="1" ht="13.9" customHeight="1" x14ac:dyDescent="0.2">
      <c r="A54" s="89"/>
      <c r="B54" s="52"/>
      <c r="C54" s="52"/>
      <c r="D54" s="52"/>
      <c r="E54" s="52"/>
      <c r="F54" s="52"/>
      <c r="G54" s="52"/>
      <c r="H54" s="52"/>
      <c r="I54" s="52"/>
      <c r="J54" s="98">
        <v>4</v>
      </c>
      <c r="K54" s="174" t="s">
        <v>109</v>
      </c>
      <c r="L54" s="56" t="s">
        <v>117</v>
      </c>
      <c r="M54" s="56"/>
      <c r="N54" s="63" t="s">
        <v>114</v>
      </c>
      <c r="O54" s="55" t="s">
        <v>106</v>
      </c>
      <c r="P54" s="58" t="s">
        <v>115</v>
      </c>
      <c r="Q54" s="56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88"/>
    </row>
    <row r="55" spans="1:28" s="28" customFormat="1" ht="13.9" customHeight="1" x14ac:dyDescent="0.2">
      <c r="A55" s="89" t="s">
        <v>104</v>
      </c>
      <c r="B55" s="52"/>
      <c r="C55" s="52"/>
      <c r="D55" s="52"/>
      <c r="E55" s="52"/>
      <c r="F55" s="52"/>
      <c r="G55" s="52"/>
      <c r="H55" s="52"/>
      <c r="I55" s="52" t="s">
        <v>105</v>
      </c>
      <c r="J55" s="75" t="s">
        <v>79</v>
      </c>
      <c r="K55" s="174"/>
      <c r="L55" s="51"/>
      <c r="M55" s="51" t="s">
        <v>101</v>
      </c>
      <c r="N55" s="53" t="s">
        <v>106</v>
      </c>
      <c r="O55" s="51">
        <v>10</v>
      </c>
      <c r="P55" s="62">
        <v>5</v>
      </c>
      <c r="Q55" s="51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88"/>
    </row>
    <row r="56" spans="1:28" s="28" customFormat="1" ht="13.9" customHeight="1" x14ac:dyDescent="0.2">
      <c r="A56" s="89"/>
      <c r="B56" s="52"/>
      <c r="C56" s="52"/>
      <c r="D56" s="52"/>
      <c r="E56" s="52"/>
      <c r="F56" s="52"/>
      <c r="G56" s="52"/>
      <c r="H56" s="52"/>
      <c r="I56" s="52"/>
      <c r="J56" s="75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88"/>
    </row>
    <row r="57" spans="1:28" s="28" customFormat="1" ht="13.9" customHeight="1" x14ac:dyDescent="0.2">
      <c r="A57" s="89"/>
      <c r="B57" s="52"/>
      <c r="C57" s="52"/>
      <c r="D57" s="52"/>
      <c r="E57" s="52"/>
      <c r="F57" s="52"/>
      <c r="G57" s="52"/>
      <c r="H57" s="52"/>
      <c r="I57" s="52"/>
      <c r="J57" s="98">
        <v>4</v>
      </c>
      <c r="K57" s="174" t="s">
        <v>109</v>
      </c>
      <c r="L57" s="56" t="s">
        <v>117</v>
      </c>
      <c r="M57" s="56"/>
      <c r="N57" s="63">
        <f>K12</f>
        <v>10</v>
      </c>
      <c r="O57" s="55" t="s">
        <v>106</v>
      </c>
      <c r="P57" s="185">
        <f>K11</f>
        <v>210000</v>
      </c>
      <c r="Q57" s="185"/>
      <c r="R57" s="56" t="s">
        <v>106</v>
      </c>
      <c r="S57" s="176">
        <f>K31</f>
        <v>27.677091333977401</v>
      </c>
      <c r="T57" s="176"/>
      <c r="U57" s="52"/>
      <c r="V57" s="52"/>
      <c r="W57" s="52"/>
      <c r="X57" s="52"/>
      <c r="Y57" s="52"/>
      <c r="Z57" s="52"/>
      <c r="AA57" s="52"/>
      <c r="AB57" s="88"/>
    </row>
    <row r="58" spans="1:28" s="28" customFormat="1" ht="13.9" customHeight="1" x14ac:dyDescent="0.2">
      <c r="A58" s="89"/>
      <c r="B58" s="52"/>
      <c r="C58" s="52"/>
      <c r="D58" s="52"/>
      <c r="E58" s="52"/>
      <c r="F58" s="52"/>
      <c r="G58" s="52"/>
      <c r="H58" s="52"/>
      <c r="I58" s="52"/>
      <c r="J58" s="75" t="s">
        <v>79</v>
      </c>
      <c r="K58" s="174"/>
      <c r="L58" s="181">
        <f>K23</f>
        <v>78.867101208961628</v>
      </c>
      <c r="M58" s="181"/>
      <c r="N58" s="53" t="s">
        <v>106</v>
      </c>
      <c r="O58" s="51">
        <v>10</v>
      </c>
      <c r="P58" s="62">
        <v>5</v>
      </c>
      <c r="Q58" s="51"/>
      <c r="R58" s="51"/>
      <c r="S58" s="51"/>
      <c r="T58" s="51"/>
      <c r="U58" s="52"/>
      <c r="V58" s="52"/>
      <c r="W58" s="52"/>
      <c r="X58" s="52"/>
      <c r="Y58" s="52"/>
      <c r="Z58" s="52"/>
      <c r="AA58" s="52"/>
      <c r="AB58" s="88"/>
    </row>
    <row r="59" spans="1:28" s="28" customFormat="1" ht="13.9" customHeight="1" thickBot="1" x14ac:dyDescent="0.25">
      <c r="A59" s="89"/>
      <c r="B59" s="52"/>
      <c r="C59" s="52"/>
      <c r="D59" s="52"/>
      <c r="E59" s="52"/>
      <c r="F59" s="52"/>
      <c r="G59" s="52"/>
      <c r="H59" s="52"/>
      <c r="I59" s="52"/>
      <c r="J59" s="75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88"/>
    </row>
    <row r="60" spans="1:28" s="28" customFormat="1" ht="13.9" customHeight="1" thickTop="1" thickBot="1" x14ac:dyDescent="0.25">
      <c r="A60" s="89"/>
      <c r="B60" s="52"/>
      <c r="C60" s="52"/>
      <c r="D60" s="52"/>
      <c r="E60" s="52"/>
      <c r="F60" s="52"/>
      <c r="G60" s="52"/>
      <c r="H60" s="52"/>
      <c r="I60" s="64" t="s">
        <v>105</v>
      </c>
      <c r="J60" s="65" t="s">
        <v>79</v>
      </c>
      <c r="K60" s="182">
        <f>((384*K12*K11*K31)/(K23*10^5))^(1/4)</f>
        <v>7.2936307349747045</v>
      </c>
      <c r="L60" s="182"/>
      <c r="M60" s="66" t="s">
        <v>111</v>
      </c>
      <c r="N60" s="52"/>
      <c r="O60" s="90" t="s">
        <v>112</v>
      </c>
      <c r="P60" s="52"/>
      <c r="Q60" s="52"/>
      <c r="R60" s="52"/>
      <c r="S60" s="67">
        <v>2</v>
      </c>
      <c r="T60" s="52"/>
      <c r="U60" s="52"/>
      <c r="V60" s="52"/>
      <c r="W60" s="52"/>
      <c r="X60" s="52"/>
      <c r="Y60" s="52"/>
      <c r="Z60" s="52"/>
      <c r="AA60" s="52"/>
      <c r="AB60" s="88"/>
    </row>
    <row r="61" spans="1:28" s="28" customFormat="1" ht="13.9" customHeight="1" thickTop="1" x14ac:dyDescent="0.2">
      <c r="A61" s="89"/>
      <c r="B61" s="52"/>
      <c r="C61" s="52"/>
      <c r="D61" s="52"/>
      <c r="E61" s="52"/>
      <c r="F61" s="52"/>
      <c r="G61" s="52"/>
      <c r="H61" s="103"/>
      <c r="I61" s="70"/>
      <c r="J61" s="71"/>
      <c r="K61" s="72"/>
      <c r="L61" s="72"/>
      <c r="M61" s="73"/>
      <c r="N61" s="103"/>
      <c r="O61" s="104"/>
      <c r="P61" s="103"/>
      <c r="Q61" s="103"/>
      <c r="R61" s="103"/>
      <c r="S61" s="74"/>
      <c r="T61" s="103"/>
      <c r="U61" s="103"/>
      <c r="V61" s="103"/>
      <c r="W61" s="103"/>
      <c r="X61" s="52"/>
      <c r="Y61" s="52"/>
      <c r="Z61" s="52"/>
      <c r="AA61" s="52"/>
      <c r="AB61" s="88"/>
    </row>
    <row r="62" spans="1:28" s="28" customFormat="1" ht="13.9" customHeight="1" thickBot="1" x14ac:dyDescent="0.25">
      <c r="A62" s="89"/>
      <c r="B62" s="52"/>
      <c r="C62" s="52"/>
      <c r="D62" s="52"/>
      <c r="E62" s="52"/>
      <c r="F62" s="52"/>
      <c r="G62" s="52"/>
      <c r="H62" s="52"/>
      <c r="I62" s="52"/>
      <c r="J62" s="75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88"/>
    </row>
    <row r="63" spans="1:28" s="28" customFormat="1" ht="13.9" customHeight="1" thickTop="1" thickBot="1" x14ac:dyDescent="0.25">
      <c r="A63" s="89" t="s">
        <v>104</v>
      </c>
      <c r="B63" s="52"/>
      <c r="C63" s="52"/>
      <c r="D63" s="52"/>
      <c r="E63" s="52"/>
      <c r="F63" s="52"/>
      <c r="G63" s="52"/>
      <c r="H63" s="52"/>
      <c r="I63" s="52" t="s">
        <v>105</v>
      </c>
      <c r="J63" s="75" t="s">
        <v>79</v>
      </c>
      <c r="K63" s="52" t="s">
        <v>118</v>
      </c>
      <c r="L63" s="52"/>
      <c r="M63" s="67">
        <v>1</v>
      </c>
      <c r="N63" s="177" t="s">
        <v>119</v>
      </c>
      <c r="O63" s="178"/>
      <c r="P63" s="67">
        <v>2</v>
      </c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88"/>
    </row>
    <row r="64" spans="1:28" s="28" customFormat="1" ht="13.9" customHeight="1" thickTop="1" thickBot="1" x14ac:dyDescent="0.25">
      <c r="A64" s="89"/>
      <c r="B64" s="52"/>
      <c r="C64" s="52"/>
      <c r="D64" s="52"/>
      <c r="E64" s="52"/>
      <c r="F64" s="52"/>
      <c r="G64" s="52"/>
      <c r="H64" s="52"/>
      <c r="I64" s="52"/>
      <c r="J64" s="75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88"/>
    </row>
    <row r="65" spans="1:28" s="28" customFormat="1" ht="13.9" customHeight="1" thickTop="1" thickBot="1" x14ac:dyDescent="0.25">
      <c r="A65" s="89"/>
      <c r="B65" s="52"/>
      <c r="C65" s="52"/>
      <c r="D65" s="52"/>
      <c r="E65" s="52"/>
      <c r="F65" s="52"/>
      <c r="G65" s="52"/>
      <c r="H65" s="52"/>
      <c r="I65" s="59" t="s">
        <v>105</v>
      </c>
      <c r="J65" s="60" t="s">
        <v>79</v>
      </c>
      <c r="K65" s="179">
        <f>MIN(K60,K47)</f>
        <v>7.2936307349747045</v>
      </c>
      <c r="L65" s="179"/>
      <c r="M65" s="61" t="s">
        <v>111</v>
      </c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88"/>
    </row>
    <row r="66" spans="1:28" s="28" customFormat="1" ht="13.9" customHeight="1" thickTop="1" x14ac:dyDescent="0.2">
      <c r="A66" s="89"/>
      <c r="B66" s="52"/>
      <c r="C66" s="52"/>
      <c r="D66" s="52"/>
      <c r="E66" s="52"/>
      <c r="F66" s="52"/>
      <c r="G66" s="52"/>
      <c r="H66" s="52"/>
      <c r="I66" s="52"/>
      <c r="J66" s="75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88"/>
    </row>
    <row r="67" spans="1:28" s="28" customFormat="1" ht="13.9" customHeight="1" x14ac:dyDescent="0.2">
      <c r="A67" s="105" t="s">
        <v>134</v>
      </c>
      <c r="B67" s="52"/>
      <c r="C67" s="52"/>
      <c r="D67" s="52"/>
      <c r="E67" s="52"/>
      <c r="F67" s="52"/>
      <c r="G67" s="52"/>
      <c r="H67" s="52"/>
      <c r="I67" s="52"/>
      <c r="J67" s="75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88"/>
    </row>
    <row r="68" spans="1:28" s="28" customFormat="1" ht="13.9" customHeight="1" x14ac:dyDescent="0.2">
      <c r="A68" s="89"/>
      <c r="B68" s="52"/>
      <c r="C68" s="52"/>
      <c r="D68" s="52"/>
      <c r="E68" s="52"/>
      <c r="F68" s="52"/>
      <c r="G68" s="52"/>
      <c r="H68" s="52"/>
      <c r="I68" s="52"/>
      <c r="J68" s="75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88"/>
    </row>
    <row r="69" spans="1:28" s="28" customFormat="1" ht="13.9" customHeight="1" x14ac:dyDescent="0.2">
      <c r="A69" s="89"/>
      <c r="B69" s="52"/>
      <c r="C69" s="52"/>
      <c r="D69" s="52"/>
      <c r="E69" s="52"/>
      <c r="F69" s="52"/>
      <c r="G69" s="52"/>
      <c r="H69" s="52"/>
      <c r="I69" s="52"/>
      <c r="J69" s="75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88"/>
    </row>
    <row r="70" spans="1:28" s="28" customFormat="1" ht="13.9" customHeight="1" x14ac:dyDescent="0.2">
      <c r="A70" s="89"/>
      <c r="B70" s="52"/>
      <c r="C70" s="52"/>
      <c r="D70" s="52"/>
      <c r="E70" s="52"/>
      <c r="F70" s="52"/>
      <c r="G70" s="52"/>
      <c r="H70" s="52"/>
      <c r="I70" s="52"/>
      <c r="J70" s="75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88"/>
    </row>
    <row r="71" spans="1:28" s="28" customFormat="1" ht="13.9" customHeight="1" x14ac:dyDescent="0.2">
      <c r="A71" s="89"/>
      <c r="B71" s="52"/>
      <c r="C71" s="52"/>
      <c r="D71" s="52"/>
      <c r="E71" s="52"/>
      <c r="F71" s="52"/>
      <c r="G71" s="52"/>
      <c r="H71" s="52"/>
      <c r="I71" s="52"/>
      <c r="J71" s="75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88"/>
    </row>
    <row r="72" spans="1:28" s="28" customFormat="1" ht="13.9" customHeight="1" x14ac:dyDescent="0.2">
      <c r="A72" s="89"/>
      <c r="B72" s="52"/>
      <c r="C72" s="52"/>
      <c r="D72" s="52"/>
      <c r="E72" s="52"/>
      <c r="F72" s="52"/>
      <c r="G72" s="52"/>
      <c r="H72" s="52"/>
      <c r="I72" s="52"/>
      <c r="J72" s="75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88"/>
    </row>
    <row r="73" spans="1:28" s="28" customFormat="1" ht="13.9" customHeight="1" x14ac:dyDescent="0.2">
      <c r="A73" s="89"/>
      <c r="B73" s="52"/>
      <c r="C73" s="52"/>
      <c r="D73" s="52"/>
      <c r="E73" s="52"/>
      <c r="F73" s="52"/>
      <c r="G73" s="52"/>
      <c r="H73" s="52"/>
      <c r="I73" s="52"/>
      <c r="J73" s="75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88"/>
    </row>
    <row r="74" spans="1:28" s="28" customFormat="1" ht="13.9" customHeight="1" x14ac:dyDescent="0.2">
      <c r="A74" s="89"/>
      <c r="B74" s="52"/>
      <c r="C74" s="52"/>
      <c r="D74" s="52"/>
      <c r="E74" s="52"/>
      <c r="F74" s="52"/>
      <c r="G74" s="52"/>
      <c r="H74" s="52"/>
      <c r="I74" s="52"/>
      <c r="J74" s="75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88"/>
    </row>
    <row r="75" spans="1:28" s="28" customFormat="1" ht="13.9" customHeight="1" x14ac:dyDescent="0.2">
      <c r="A75" s="89"/>
      <c r="B75" s="52"/>
      <c r="C75" s="52"/>
      <c r="D75" s="52"/>
      <c r="E75" s="52"/>
      <c r="F75" s="52"/>
      <c r="G75" s="52"/>
      <c r="H75" s="52"/>
      <c r="I75" s="52"/>
      <c r="J75" s="75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88"/>
    </row>
    <row r="76" spans="1:28" s="28" customFormat="1" ht="13.9" customHeight="1" x14ac:dyDescent="0.2">
      <c r="A76" s="89"/>
      <c r="B76" s="52"/>
      <c r="C76" s="52"/>
      <c r="D76" s="52"/>
      <c r="E76" s="52"/>
      <c r="F76" s="52"/>
      <c r="G76" s="52"/>
      <c r="H76" s="52"/>
      <c r="I76" s="52"/>
      <c r="J76" s="75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88"/>
    </row>
    <row r="77" spans="1:28" s="28" customFormat="1" ht="13.9" customHeight="1" x14ac:dyDescent="0.2">
      <c r="A77" s="89"/>
      <c r="B77" s="52"/>
      <c r="C77" s="52"/>
      <c r="D77" s="52"/>
      <c r="E77" s="52"/>
      <c r="F77" s="52"/>
      <c r="G77" s="52"/>
      <c r="H77" s="52"/>
      <c r="I77" s="52"/>
      <c r="J77" s="75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88"/>
    </row>
    <row r="78" spans="1:28" s="28" customFormat="1" ht="13.9" customHeight="1" x14ac:dyDescent="0.2">
      <c r="A78" s="89"/>
      <c r="B78" s="52"/>
      <c r="C78" s="52"/>
      <c r="D78" s="52"/>
      <c r="E78" s="52"/>
      <c r="F78" s="52"/>
      <c r="G78" s="52"/>
      <c r="H78" s="52"/>
      <c r="I78" s="52"/>
      <c r="J78" s="75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88"/>
    </row>
    <row r="79" spans="1:28" s="28" customFormat="1" ht="13.9" customHeight="1" x14ac:dyDescent="0.2">
      <c r="A79" s="89"/>
      <c r="B79" s="52"/>
      <c r="C79" s="52"/>
      <c r="D79" s="52"/>
      <c r="E79" s="52"/>
      <c r="F79" s="52"/>
      <c r="G79" s="52"/>
      <c r="H79" s="52"/>
      <c r="I79" s="52"/>
      <c r="J79" s="75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88"/>
    </row>
    <row r="80" spans="1:28" s="68" customFormat="1" ht="25.15" customHeight="1" x14ac:dyDescent="0.2">
      <c r="A80" s="105" t="s">
        <v>121</v>
      </c>
      <c r="B80" s="106"/>
      <c r="C80" s="106"/>
      <c r="D80" s="106"/>
      <c r="E80" s="106"/>
      <c r="F80" s="106"/>
      <c r="G80" s="106"/>
      <c r="H80" s="106"/>
      <c r="I80" s="106"/>
      <c r="J80" s="107"/>
      <c r="K80" s="106"/>
      <c r="L80" s="106"/>
      <c r="M80" s="108"/>
      <c r="N80" s="106" t="s">
        <v>79</v>
      </c>
      <c r="O80" s="109">
        <v>7.1</v>
      </c>
      <c r="P80" s="110" t="s">
        <v>135</v>
      </c>
      <c r="Q80" s="111">
        <f>K65</f>
        <v>7.2936307349747045</v>
      </c>
      <c r="R80" s="108"/>
      <c r="S80" s="106" t="s">
        <v>122</v>
      </c>
      <c r="T80" s="106"/>
      <c r="U80" s="108"/>
      <c r="V80" s="108"/>
      <c r="W80" s="108"/>
      <c r="X80" s="108"/>
      <c r="Y80" s="108"/>
      <c r="Z80" s="108"/>
      <c r="AA80" s="108"/>
      <c r="AB80" s="112"/>
    </row>
    <row r="81" spans="1:28" s="28" customFormat="1" ht="13.9" customHeight="1" x14ac:dyDescent="0.2">
      <c r="A81" s="89"/>
      <c r="B81" s="52"/>
      <c r="C81" s="52"/>
      <c r="D81" s="52"/>
      <c r="E81" s="52"/>
      <c r="F81" s="52"/>
      <c r="G81" s="52"/>
      <c r="H81" s="52"/>
      <c r="I81" s="52"/>
      <c r="J81" s="75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88"/>
    </row>
    <row r="82" spans="1:28" s="28" customFormat="1" ht="13.9" customHeight="1" x14ac:dyDescent="0.2">
      <c r="A82" s="89"/>
      <c r="B82" s="52"/>
      <c r="C82" s="52"/>
      <c r="D82" s="52"/>
      <c r="E82" s="52"/>
      <c r="F82" s="52"/>
      <c r="G82" s="52"/>
      <c r="H82" s="52"/>
      <c r="I82" s="52"/>
      <c r="J82" s="75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88"/>
    </row>
    <row r="83" spans="1:28" s="28" customFormat="1" ht="13.9" customHeight="1" x14ac:dyDescent="0.2">
      <c r="A83" s="89"/>
      <c r="B83" s="52"/>
      <c r="C83" s="52"/>
      <c r="D83" s="52"/>
      <c r="E83" s="52"/>
      <c r="F83" s="52"/>
      <c r="G83" s="52"/>
      <c r="H83" s="52"/>
      <c r="I83" s="52"/>
      <c r="J83" s="75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88"/>
    </row>
    <row r="84" spans="1:28" s="28" customFormat="1" ht="13.9" customHeight="1" x14ac:dyDescent="0.2">
      <c r="A84" s="89"/>
      <c r="B84" s="52"/>
      <c r="C84" s="52"/>
      <c r="D84" s="52"/>
      <c r="E84" s="52"/>
      <c r="F84" s="52"/>
      <c r="G84" s="52"/>
      <c r="H84" s="52"/>
      <c r="I84" s="52"/>
      <c r="J84" s="75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88"/>
    </row>
    <row r="85" spans="1:28" s="28" customFormat="1" ht="13.9" customHeight="1" x14ac:dyDescent="0.2">
      <c r="A85" s="89"/>
      <c r="B85" s="52"/>
      <c r="C85" s="52"/>
      <c r="D85" s="52"/>
      <c r="E85" s="52"/>
      <c r="F85" s="52"/>
      <c r="G85" s="52"/>
      <c r="H85" s="52"/>
      <c r="I85" s="52"/>
      <c r="J85" s="75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88"/>
    </row>
    <row r="86" spans="1:28" s="28" customFormat="1" ht="13.9" customHeight="1" x14ac:dyDescent="0.2">
      <c r="A86" s="89"/>
      <c r="B86" s="52"/>
      <c r="C86" s="52"/>
      <c r="D86" s="52"/>
      <c r="E86" s="52"/>
      <c r="F86" s="52"/>
      <c r="G86" s="52"/>
      <c r="H86" s="52"/>
      <c r="I86" s="52"/>
      <c r="J86" s="75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88"/>
    </row>
    <row r="87" spans="1:28" s="28" customFormat="1" ht="13.9" customHeight="1" x14ac:dyDescent="0.2">
      <c r="A87" s="89"/>
      <c r="B87" s="52"/>
      <c r="C87" s="52"/>
      <c r="D87" s="52"/>
      <c r="E87" s="52"/>
      <c r="F87" s="52"/>
      <c r="G87" s="52"/>
      <c r="H87" s="52"/>
      <c r="I87" s="52"/>
      <c r="J87" s="75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88"/>
    </row>
    <row r="88" spans="1:28" s="28" customFormat="1" ht="13.9" customHeight="1" x14ac:dyDescent="0.2">
      <c r="A88" s="89"/>
      <c r="B88" s="52"/>
      <c r="C88" s="52"/>
      <c r="D88" s="52"/>
      <c r="E88" s="52"/>
      <c r="F88" s="52"/>
      <c r="G88" s="52"/>
      <c r="H88" s="52"/>
      <c r="I88" s="52"/>
      <c r="J88" s="75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88"/>
    </row>
    <row r="89" spans="1:28" s="28" customFormat="1" ht="13.9" customHeight="1" x14ac:dyDescent="0.2">
      <c r="A89" s="89"/>
      <c r="B89" s="52"/>
      <c r="C89" s="52"/>
      <c r="D89" s="52"/>
      <c r="E89" s="52"/>
      <c r="F89" s="52"/>
      <c r="G89" s="52"/>
      <c r="H89" s="52"/>
      <c r="I89" s="52"/>
      <c r="J89" s="75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88"/>
    </row>
    <row r="90" spans="1:28" s="28" customFormat="1" ht="13.9" customHeight="1" x14ac:dyDescent="0.2">
      <c r="A90" s="89"/>
      <c r="B90" s="52"/>
      <c r="C90" s="52"/>
      <c r="D90" s="52"/>
      <c r="E90" s="52"/>
      <c r="F90" s="52"/>
      <c r="G90" s="52"/>
      <c r="H90" s="52"/>
      <c r="I90" s="52"/>
      <c r="J90" s="75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88"/>
    </row>
    <row r="91" spans="1:28" s="28" customFormat="1" ht="13.9" customHeight="1" x14ac:dyDescent="0.2">
      <c r="A91" s="89"/>
      <c r="B91" s="52"/>
      <c r="C91" s="52"/>
      <c r="D91" s="52"/>
      <c r="E91" s="52"/>
      <c r="F91" s="52"/>
      <c r="G91" s="52"/>
      <c r="H91" s="52"/>
      <c r="I91" s="52"/>
      <c r="J91" s="75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88"/>
    </row>
    <row r="92" spans="1:28" s="28" customFormat="1" ht="13.9" customHeight="1" x14ac:dyDescent="0.2">
      <c r="A92" s="89"/>
      <c r="B92" s="52"/>
      <c r="C92" s="52"/>
      <c r="D92" s="52"/>
      <c r="E92" s="52"/>
      <c r="F92" s="52"/>
      <c r="G92" s="52"/>
      <c r="H92" s="52"/>
      <c r="I92" s="52"/>
      <c r="J92" s="75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88"/>
    </row>
    <row r="93" spans="1:28" s="28" customFormat="1" ht="13.9" customHeight="1" x14ac:dyDescent="0.2">
      <c r="A93" s="89"/>
      <c r="B93" s="52"/>
      <c r="C93" s="52"/>
      <c r="D93" s="52"/>
      <c r="E93" s="52"/>
      <c r="F93" s="52"/>
      <c r="G93" s="52"/>
      <c r="H93" s="52"/>
      <c r="I93" s="52"/>
      <c r="J93" s="75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88"/>
    </row>
    <row r="94" spans="1:28" s="28" customFormat="1" ht="13.9" customHeight="1" x14ac:dyDescent="0.2">
      <c r="A94" s="89"/>
      <c r="B94" s="52"/>
      <c r="C94" s="52"/>
      <c r="D94" s="52"/>
      <c r="E94" s="52"/>
      <c r="F94" s="52"/>
      <c r="G94" s="52"/>
      <c r="H94" s="52"/>
      <c r="I94" s="52"/>
      <c r="J94" s="75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88"/>
    </row>
    <row r="95" spans="1:28" s="28" customFormat="1" ht="13.9" customHeight="1" x14ac:dyDescent="0.2">
      <c r="A95" s="89"/>
      <c r="B95" s="52"/>
      <c r="C95" s="52"/>
      <c r="D95" s="52"/>
      <c r="E95" s="52"/>
      <c r="F95" s="52"/>
      <c r="G95" s="52"/>
      <c r="H95" s="52"/>
      <c r="I95" s="52"/>
      <c r="J95" s="75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88"/>
    </row>
    <row r="96" spans="1:28" s="28" customFormat="1" ht="13.9" customHeight="1" x14ac:dyDescent="0.2">
      <c r="A96" s="89"/>
      <c r="B96" s="52"/>
      <c r="C96" s="52"/>
      <c r="D96" s="52"/>
      <c r="E96" s="52"/>
      <c r="F96" s="52"/>
      <c r="G96" s="52"/>
      <c r="H96" s="52"/>
      <c r="I96" s="52"/>
      <c r="J96" s="75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88"/>
    </row>
    <row r="97" spans="1:28" s="28" customFormat="1" ht="13.9" customHeight="1" x14ac:dyDescent="0.2">
      <c r="A97" s="89"/>
      <c r="B97" s="52"/>
      <c r="C97" s="52"/>
      <c r="D97" s="52"/>
      <c r="E97" s="52"/>
      <c r="F97" s="52"/>
      <c r="G97" s="52"/>
      <c r="H97" s="52"/>
      <c r="I97" s="52"/>
      <c r="J97" s="75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88"/>
    </row>
    <row r="98" spans="1:28" s="28" customFormat="1" ht="13.9" customHeight="1" x14ac:dyDescent="0.2">
      <c r="A98" s="89"/>
      <c r="B98" s="52"/>
      <c r="C98" s="52"/>
      <c r="D98" s="52"/>
      <c r="E98" s="52"/>
      <c r="F98" s="52"/>
      <c r="G98" s="52"/>
      <c r="H98" s="52"/>
      <c r="I98" s="52"/>
      <c r="J98" s="75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88"/>
    </row>
    <row r="99" spans="1:28" s="28" customFormat="1" ht="13.9" customHeight="1" x14ac:dyDescent="0.2">
      <c r="A99" s="89"/>
      <c r="B99" s="52"/>
      <c r="C99" s="52"/>
      <c r="D99" s="52"/>
      <c r="E99" s="52"/>
      <c r="F99" s="52"/>
      <c r="G99" s="52"/>
      <c r="H99" s="52"/>
      <c r="I99" s="52"/>
      <c r="J99" s="75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88"/>
    </row>
    <row r="100" spans="1:28" s="28" customFormat="1" ht="13.9" customHeight="1" x14ac:dyDescent="0.2">
      <c r="A100" s="89"/>
      <c r="B100" s="52"/>
      <c r="C100" s="52"/>
      <c r="D100" s="52"/>
      <c r="E100" s="52"/>
      <c r="F100" s="52"/>
      <c r="G100" s="52"/>
      <c r="H100" s="52"/>
      <c r="I100" s="52"/>
      <c r="J100" s="75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88"/>
    </row>
    <row r="101" spans="1:28" s="28" customFormat="1" ht="13.9" customHeight="1" x14ac:dyDescent="0.2">
      <c r="A101" s="89"/>
      <c r="B101" s="52"/>
      <c r="C101" s="52"/>
      <c r="D101" s="52"/>
      <c r="E101" s="52"/>
      <c r="F101" s="52"/>
      <c r="G101" s="52"/>
      <c r="H101" s="52"/>
      <c r="I101" s="52"/>
      <c r="J101" s="75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88"/>
    </row>
    <row r="102" spans="1:28" s="28" customFormat="1" ht="13.9" customHeight="1" x14ac:dyDescent="0.2">
      <c r="A102" s="89"/>
      <c r="B102" s="52"/>
      <c r="C102" s="52"/>
      <c r="D102" s="52"/>
      <c r="E102" s="52"/>
      <c r="F102" s="52"/>
      <c r="G102" s="52"/>
      <c r="H102" s="52"/>
      <c r="I102" s="52"/>
      <c r="J102" s="75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88"/>
    </row>
    <row r="103" spans="1:28" s="28" customFormat="1" ht="13.9" customHeight="1" x14ac:dyDescent="0.2">
      <c r="A103" s="89"/>
      <c r="B103" s="52"/>
      <c r="C103" s="52"/>
      <c r="D103" s="52"/>
      <c r="E103" s="52"/>
      <c r="F103" s="52"/>
      <c r="G103" s="52"/>
      <c r="H103" s="52"/>
      <c r="I103" s="52"/>
      <c r="J103" s="75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88"/>
    </row>
    <row r="104" spans="1:28" s="28" customFormat="1" ht="13.9" customHeight="1" x14ac:dyDescent="0.2">
      <c r="A104" s="89"/>
      <c r="B104" s="52"/>
      <c r="C104" s="52"/>
      <c r="D104" s="52"/>
      <c r="E104" s="52"/>
      <c r="F104" s="52"/>
      <c r="G104" s="52"/>
      <c r="H104" s="52"/>
      <c r="I104" s="52"/>
      <c r="J104" s="75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88"/>
    </row>
    <row r="105" spans="1:28" s="28" customFormat="1" ht="13.9" customHeight="1" x14ac:dyDescent="0.2">
      <c r="A105" s="89"/>
      <c r="B105" s="52"/>
      <c r="C105" s="52"/>
      <c r="D105" s="52"/>
      <c r="E105" s="52"/>
      <c r="F105" s="52"/>
      <c r="G105" s="52"/>
      <c r="H105" s="52"/>
      <c r="I105" s="52"/>
      <c r="J105" s="75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88"/>
    </row>
    <row r="106" spans="1:28" s="28" customFormat="1" ht="13.9" customHeight="1" x14ac:dyDescent="0.2">
      <c r="A106" s="89"/>
      <c r="B106" s="52"/>
      <c r="C106" s="52"/>
      <c r="D106" s="52"/>
      <c r="E106" s="52"/>
      <c r="F106" s="52"/>
      <c r="G106" s="52"/>
      <c r="H106" s="52"/>
      <c r="I106" s="52"/>
      <c r="J106" s="75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88"/>
    </row>
    <row r="107" spans="1:28" s="28" customFormat="1" ht="13.9" customHeight="1" x14ac:dyDescent="0.2">
      <c r="A107" s="113"/>
      <c r="B107" s="114"/>
      <c r="C107" s="114"/>
      <c r="D107" s="114"/>
      <c r="E107" s="114"/>
      <c r="F107" s="114"/>
      <c r="G107" s="114"/>
      <c r="H107" s="114"/>
      <c r="I107" s="114"/>
      <c r="J107" s="115"/>
      <c r="K107" s="114"/>
      <c r="L107" s="114"/>
      <c r="M107" s="114"/>
      <c r="N107" s="114"/>
      <c r="O107" s="114"/>
      <c r="P107" s="114"/>
      <c r="Q107" s="114"/>
      <c r="R107" s="114"/>
      <c r="S107" s="114"/>
      <c r="T107" s="114"/>
      <c r="U107" s="114"/>
      <c r="V107" s="114"/>
      <c r="W107" s="114"/>
      <c r="X107" s="114"/>
      <c r="Y107" s="114"/>
      <c r="Z107" s="114"/>
      <c r="AA107" s="114"/>
      <c r="AB107" s="116"/>
    </row>
    <row r="108" spans="1:28" s="28" customFormat="1" ht="13.9" customHeight="1" x14ac:dyDescent="0.2">
      <c r="J108" s="2"/>
    </row>
    <row r="109" spans="1:28" s="28" customFormat="1" ht="13.9" customHeight="1" x14ac:dyDescent="0.2">
      <c r="J109" s="2"/>
    </row>
    <row r="110" spans="1:28" s="28" customFormat="1" ht="13.9" customHeight="1" x14ac:dyDescent="0.2">
      <c r="J110" s="2"/>
    </row>
    <row r="111" spans="1:28" s="28" customFormat="1" ht="13.9" customHeight="1" x14ac:dyDescent="0.2">
      <c r="J111" s="2"/>
    </row>
    <row r="112" spans="1:28" s="28" customFormat="1" ht="13.9" customHeight="1" x14ac:dyDescent="0.2">
      <c r="J112" s="2"/>
    </row>
    <row r="113" spans="10:10" s="28" customFormat="1" ht="13.9" customHeight="1" x14ac:dyDescent="0.2">
      <c r="J113" s="2"/>
    </row>
    <row r="114" spans="10:10" s="28" customFormat="1" ht="13.9" customHeight="1" x14ac:dyDescent="0.2">
      <c r="J114" s="2"/>
    </row>
    <row r="115" spans="10:10" s="28" customFormat="1" ht="13.9" customHeight="1" x14ac:dyDescent="0.2">
      <c r="J115" s="2"/>
    </row>
    <row r="116" spans="10:10" s="28" customFormat="1" ht="13.9" customHeight="1" x14ac:dyDescent="0.2">
      <c r="J116" s="2"/>
    </row>
    <row r="117" spans="10:10" s="28" customFormat="1" ht="13.9" customHeight="1" x14ac:dyDescent="0.2">
      <c r="J117" s="2"/>
    </row>
    <row r="118" spans="10:10" s="28" customFormat="1" ht="13.9" customHeight="1" x14ac:dyDescent="0.2">
      <c r="J118" s="2"/>
    </row>
    <row r="119" spans="10:10" s="28" customFormat="1" ht="13.9" customHeight="1" x14ac:dyDescent="0.2">
      <c r="J119" s="2"/>
    </row>
    <row r="120" spans="10:10" s="28" customFormat="1" ht="13.9" customHeight="1" x14ac:dyDescent="0.2">
      <c r="J120" s="2"/>
    </row>
    <row r="121" spans="10:10" s="28" customFormat="1" ht="13.9" customHeight="1" x14ac:dyDescent="0.2">
      <c r="J121" s="2"/>
    </row>
    <row r="122" spans="10:10" s="28" customFormat="1" ht="13.9" customHeight="1" x14ac:dyDescent="0.2">
      <c r="J122" s="2"/>
    </row>
    <row r="123" spans="10:10" s="28" customFormat="1" ht="13.9" customHeight="1" x14ac:dyDescent="0.2">
      <c r="J123" s="2"/>
    </row>
    <row r="124" spans="10:10" s="28" customFormat="1" ht="13.9" customHeight="1" x14ac:dyDescent="0.2">
      <c r="J124" s="2"/>
    </row>
    <row r="125" spans="10:10" s="28" customFormat="1" ht="13.9" customHeight="1" x14ac:dyDescent="0.2">
      <c r="J125" s="2"/>
    </row>
    <row r="126" spans="10:10" s="28" customFormat="1" ht="13.9" customHeight="1" x14ac:dyDescent="0.2">
      <c r="J126" s="2"/>
    </row>
    <row r="127" spans="10:10" s="28" customFormat="1" ht="13.9" customHeight="1" x14ac:dyDescent="0.2">
      <c r="J127" s="2"/>
    </row>
    <row r="128" spans="10:10" s="28" customFormat="1" ht="13.9" customHeight="1" x14ac:dyDescent="0.2">
      <c r="J128" s="2"/>
    </row>
    <row r="129" spans="10:10" s="28" customFormat="1" ht="13.9" customHeight="1" x14ac:dyDescent="0.2">
      <c r="J129" s="2"/>
    </row>
    <row r="130" spans="10:10" s="28" customFormat="1" ht="13.9" customHeight="1" x14ac:dyDescent="0.2">
      <c r="J130" s="2"/>
    </row>
    <row r="131" spans="10:10" s="28" customFormat="1" ht="13.9" customHeight="1" x14ac:dyDescent="0.2">
      <c r="J131" s="2"/>
    </row>
    <row r="132" spans="10:10" s="28" customFormat="1" ht="13.9" customHeight="1" x14ac:dyDescent="0.2">
      <c r="J132" s="2"/>
    </row>
    <row r="133" spans="10:10" s="28" customFormat="1" ht="13.9" customHeight="1" x14ac:dyDescent="0.2">
      <c r="J133" s="2"/>
    </row>
    <row r="134" spans="10:10" s="28" customFormat="1" ht="13.9" customHeight="1" x14ac:dyDescent="0.2">
      <c r="J134" s="2"/>
    </row>
    <row r="135" spans="10:10" s="28" customFormat="1" ht="13.9" customHeight="1" x14ac:dyDescent="0.2">
      <c r="J135" s="2"/>
    </row>
    <row r="136" spans="10:10" s="28" customFormat="1" ht="13.9" customHeight="1" x14ac:dyDescent="0.2">
      <c r="J136" s="2"/>
    </row>
    <row r="137" spans="10:10" s="28" customFormat="1" ht="13.9" customHeight="1" x14ac:dyDescent="0.2">
      <c r="J137" s="2"/>
    </row>
    <row r="138" spans="10:10" s="28" customFormat="1" ht="13.9" customHeight="1" x14ac:dyDescent="0.2">
      <c r="J138" s="2"/>
    </row>
    <row r="139" spans="10:10" s="28" customFormat="1" ht="13.9" customHeight="1" x14ac:dyDescent="0.2">
      <c r="J139" s="2"/>
    </row>
    <row r="140" spans="10:10" s="28" customFormat="1" ht="13.9" customHeight="1" x14ac:dyDescent="0.2">
      <c r="J140" s="2"/>
    </row>
    <row r="141" spans="10:10" s="28" customFormat="1" ht="13.9" customHeight="1" x14ac:dyDescent="0.2">
      <c r="J141" s="2"/>
    </row>
    <row r="142" spans="10:10" s="28" customFormat="1" ht="13.9" customHeight="1" x14ac:dyDescent="0.2">
      <c r="J142" s="2"/>
    </row>
    <row r="143" spans="10:10" s="28" customFormat="1" ht="13.9" customHeight="1" x14ac:dyDescent="0.2">
      <c r="J143" s="2"/>
    </row>
    <row r="144" spans="10:10" s="28" customFormat="1" ht="13.9" customHeight="1" x14ac:dyDescent="0.2">
      <c r="J144" s="2"/>
    </row>
    <row r="145" spans="10:10" s="28" customFormat="1" ht="13.9" customHeight="1" x14ac:dyDescent="0.2">
      <c r="J145" s="2"/>
    </row>
    <row r="146" spans="10:10" s="28" customFormat="1" ht="13.9" customHeight="1" x14ac:dyDescent="0.2">
      <c r="J146" s="2"/>
    </row>
    <row r="147" spans="10:10" s="28" customFormat="1" ht="13.9" customHeight="1" x14ac:dyDescent="0.2">
      <c r="J147" s="2"/>
    </row>
    <row r="148" spans="10:10" s="28" customFormat="1" ht="13.9" customHeight="1" x14ac:dyDescent="0.2">
      <c r="J148" s="2"/>
    </row>
    <row r="149" spans="10:10" s="28" customFormat="1" ht="13.9" customHeight="1" x14ac:dyDescent="0.2">
      <c r="J149" s="2"/>
    </row>
    <row r="150" spans="10:10" s="28" customFormat="1" ht="13.9" customHeight="1" x14ac:dyDescent="0.2">
      <c r="J150" s="2"/>
    </row>
    <row r="151" spans="10:10" s="28" customFormat="1" ht="13.9" customHeight="1" x14ac:dyDescent="0.2">
      <c r="J151" s="2"/>
    </row>
    <row r="152" spans="10:10" s="28" customFormat="1" ht="13.9" customHeight="1" x14ac:dyDescent="0.2">
      <c r="J152" s="2"/>
    </row>
    <row r="153" spans="10:10" s="28" customFormat="1" ht="13.9" customHeight="1" x14ac:dyDescent="0.2">
      <c r="J153" s="2"/>
    </row>
    <row r="154" spans="10:10" s="28" customFormat="1" ht="13.9" customHeight="1" x14ac:dyDescent="0.2">
      <c r="J154" s="2"/>
    </row>
    <row r="155" spans="10:10" s="28" customFormat="1" ht="13.9" customHeight="1" x14ac:dyDescent="0.2">
      <c r="J155" s="2"/>
    </row>
    <row r="156" spans="10:10" s="28" customFormat="1" ht="13.9" customHeight="1" x14ac:dyDescent="0.2">
      <c r="J156" s="2"/>
    </row>
    <row r="157" spans="10:10" s="28" customFormat="1" ht="13.9" customHeight="1" x14ac:dyDescent="0.2">
      <c r="J157" s="2"/>
    </row>
    <row r="158" spans="10:10" s="28" customFormat="1" ht="13.9" customHeight="1" x14ac:dyDescent="0.2">
      <c r="J158" s="2"/>
    </row>
    <row r="159" spans="10:10" s="28" customFormat="1" ht="13.9" customHeight="1" x14ac:dyDescent="0.2">
      <c r="J159" s="2"/>
    </row>
    <row r="160" spans="10:10" s="28" customFormat="1" ht="13.9" customHeight="1" x14ac:dyDescent="0.2">
      <c r="J160" s="2"/>
    </row>
    <row r="161" spans="10:10" s="28" customFormat="1" ht="13.9" customHeight="1" x14ac:dyDescent="0.2">
      <c r="J161" s="2"/>
    </row>
    <row r="162" spans="10:10" s="28" customFormat="1" ht="13.9" customHeight="1" x14ac:dyDescent="0.2">
      <c r="J162" s="2"/>
    </row>
    <row r="163" spans="10:10" s="28" customFormat="1" ht="13.9" customHeight="1" x14ac:dyDescent="0.2">
      <c r="J163" s="2"/>
    </row>
    <row r="164" spans="10:10" s="28" customFormat="1" ht="13.9" customHeight="1" x14ac:dyDescent="0.2">
      <c r="J164" s="2"/>
    </row>
    <row r="165" spans="10:10" s="28" customFormat="1" ht="13.9" customHeight="1" x14ac:dyDescent="0.2">
      <c r="J165" s="2"/>
    </row>
    <row r="166" spans="10:10" s="28" customFormat="1" ht="13.9" customHeight="1" x14ac:dyDescent="0.2">
      <c r="J166" s="2"/>
    </row>
    <row r="167" spans="10:10" s="28" customFormat="1" ht="13.9" customHeight="1" x14ac:dyDescent="0.2">
      <c r="J167" s="2"/>
    </row>
    <row r="168" spans="10:10" s="28" customFormat="1" ht="13.9" customHeight="1" x14ac:dyDescent="0.2">
      <c r="J168" s="2"/>
    </row>
    <row r="169" spans="10:10" s="28" customFormat="1" ht="13.9" customHeight="1" x14ac:dyDescent="0.2">
      <c r="J169" s="2"/>
    </row>
    <row r="170" spans="10:10" s="28" customFormat="1" ht="13.9" customHeight="1" x14ac:dyDescent="0.2">
      <c r="J170" s="2"/>
    </row>
    <row r="171" spans="10:10" s="28" customFormat="1" ht="13.9" customHeight="1" x14ac:dyDescent="0.2">
      <c r="J171" s="2"/>
    </row>
    <row r="172" spans="10:10" s="28" customFormat="1" ht="13.9" customHeight="1" x14ac:dyDescent="0.2">
      <c r="J172" s="2"/>
    </row>
    <row r="173" spans="10:10" s="28" customFormat="1" ht="13.9" customHeight="1" x14ac:dyDescent="0.2">
      <c r="J173" s="2"/>
    </row>
    <row r="174" spans="10:10" s="28" customFormat="1" ht="13.9" customHeight="1" x14ac:dyDescent="0.2">
      <c r="J174" s="2"/>
    </row>
    <row r="175" spans="10:10" s="28" customFormat="1" ht="13.9" customHeight="1" x14ac:dyDescent="0.2">
      <c r="J175" s="2"/>
    </row>
    <row r="176" spans="10:10" s="28" customFormat="1" ht="13.9" customHeight="1" x14ac:dyDescent="0.2">
      <c r="J176" s="2"/>
    </row>
    <row r="177" spans="10:10" s="28" customFormat="1" ht="13.9" customHeight="1" x14ac:dyDescent="0.2">
      <c r="J177" s="2"/>
    </row>
    <row r="178" spans="10:10" s="28" customFormat="1" ht="13.9" customHeight="1" x14ac:dyDescent="0.2">
      <c r="J178" s="2"/>
    </row>
    <row r="179" spans="10:10" s="28" customFormat="1" ht="13.9" customHeight="1" x14ac:dyDescent="0.2">
      <c r="J179" s="2"/>
    </row>
    <row r="180" spans="10:10" s="28" customFormat="1" ht="13.9" customHeight="1" x14ac:dyDescent="0.2">
      <c r="J180" s="2"/>
    </row>
    <row r="181" spans="10:10" s="28" customFormat="1" ht="13.9" customHeight="1" x14ac:dyDescent="0.2">
      <c r="J181" s="2"/>
    </row>
    <row r="182" spans="10:10" s="28" customFormat="1" ht="13.9" customHeight="1" x14ac:dyDescent="0.2">
      <c r="J182" s="2"/>
    </row>
    <row r="183" spans="10:10" s="28" customFormat="1" ht="13.9" customHeight="1" x14ac:dyDescent="0.2">
      <c r="J183" s="2"/>
    </row>
    <row r="184" spans="10:10" s="28" customFormat="1" ht="13.9" customHeight="1" x14ac:dyDescent="0.2">
      <c r="J184" s="2"/>
    </row>
    <row r="185" spans="10:10" s="28" customFormat="1" ht="13.9" customHeight="1" x14ac:dyDescent="0.2">
      <c r="J185" s="2"/>
    </row>
    <row r="186" spans="10:10" s="28" customFormat="1" ht="13.9" customHeight="1" x14ac:dyDescent="0.2">
      <c r="J186" s="2"/>
    </row>
    <row r="187" spans="10:10" s="28" customFormat="1" ht="13.9" customHeight="1" x14ac:dyDescent="0.2">
      <c r="J187" s="2"/>
    </row>
    <row r="188" spans="10:10" s="28" customFormat="1" ht="13.9" customHeight="1" x14ac:dyDescent="0.2">
      <c r="J188" s="2"/>
    </row>
    <row r="189" spans="10:10" s="28" customFormat="1" ht="13.9" customHeight="1" x14ac:dyDescent="0.2">
      <c r="J189" s="2"/>
    </row>
    <row r="190" spans="10:10" s="28" customFormat="1" ht="13.9" customHeight="1" x14ac:dyDescent="0.2">
      <c r="J190" s="2"/>
    </row>
    <row r="191" spans="10:10" s="28" customFormat="1" ht="13.9" customHeight="1" x14ac:dyDescent="0.2">
      <c r="J191" s="2"/>
    </row>
    <row r="192" spans="10:10" s="28" customFormat="1" ht="13.9" customHeight="1" x14ac:dyDescent="0.2">
      <c r="J192" s="2"/>
    </row>
    <row r="193" spans="10:10" s="28" customFormat="1" ht="13.9" customHeight="1" x14ac:dyDescent="0.2">
      <c r="J193" s="2"/>
    </row>
    <row r="194" spans="10:10" s="28" customFormat="1" ht="13.9" customHeight="1" x14ac:dyDescent="0.2">
      <c r="J194" s="2"/>
    </row>
    <row r="195" spans="10:10" s="28" customFormat="1" ht="13.9" customHeight="1" x14ac:dyDescent="0.2">
      <c r="J195" s="2"/>
    </row>
    <row r="196" spans="10:10" s="28" customFormat="1" ht="13.9" customHeight="1" x14ac:dyDescent="0.2">
      <c r="J196" s="2"/>
    </row>
    <row r="197" spans="10:10" s="28" customFormat="1" ht="13.9" customHeight="1" x14ac:dyDescent="0.2">
      <c r="J197" s="2"/>
    </row>
    <row r="198" spans="10:10" s="28" customFormat="1" ht="13.9" customHeight="1" x14ac:dyDescent="0.2">
      <c r="J198" s="2"/>
    </row>
    <row r="199" spans="10:10" s="28" customFormat="1" ht="13.9" customHeight="1" x14ac:dyDescent="0.2">
      <c r="J199" s="2"/>
    </row>
    <row r="200" spans="10:10" s="28" customFormat="1" ht="13.9" customHeight="1" x14ac:dyDescent="0.2">
      <c r="J200" s="2"/>
    </row>
    <row r="201" spans="10:10" s="28" customFormat="1" ht="13.9" customHeight="1" x14ac:dyDescent="0.2">
      <c r="J201" s="2"/>
    </row>
    <row r="202" spans="10:10" s="28" customFormat="1" ht="13.9" customHeight="1" x14ac:dyDescent="0.2">
      <c r="J202" s="2"/>
    </row>
    <row r="203" spans="10:10" s="28" customFormat="1" ht="13.9" customHeight="1" x14ac:dyDescent="0.2">
      <c r="J203" s="2"/>
    </row>
    <row r="204" spans="10:10" s="28" customFormat="1" ht="13.9" customHeight="1" x14ac:dyDescent="0.2">
      <c r="J204" s="2"/>
    </row>
    <row r="205" spans="10:10" s="28" customFormat="1" ht="13.9" customHeight="1" x14ac:dyDescent="0.2">
      <c r="J205" s="2"/>
    </row>
    <row r="206" spans="10:10" s="28" customFormat="1" ht="13.9" customHeight="1" x14ac:dyDescent="0.2">
      <c r="J206" s="2"/>
    </row>
    <row r="207" spans="10:10" s="28" customFormat="1" ht="13.9" customHeight="1" x14ac:dyDescent="0.2">
      <c r="J207" s="2"/>
    </row>
    <row r="208" spans="10:10" s="28" customFormat="1" ht="13.9" customHeight="1" x14ac:dyDescent="0.2">
      <c r="J208" s="2"/>
    </row>
    <row r="209" spans="10:10" s="28" customFormat="1" ht="13.9" customHeight="1" x14ac:dyDescent="0.2">
      <c r="J209" s="2"/>
    </row>
    <row r="210" spans="10:10" s="28" customFormat="1" ht="13.9" customHeight="1" x14ac:dyDescent="0.2">
      <c r="J210" s="2"/>
    </row>
    <row r="211" spans="10:10" s="28" customFormat="1" ht="13.9" customHeight="1" x14ac:dyDescent="0.2">
      <c r="J211" s="2"/>
    </row>
    <row r="212" spans="10:10" s="28" customFormat="1" ht="13.9" customHeight="1" x14ac:dyDescent="0.2">
      <c r="J212" s="2"/>
    </row>
    <row r="213" spans="10:10" s="28" customFormat="1" ht="13.9" customHeight="1" x14ac:dyDescent="0.2">
      <c r="J213" s="2"/>
    </row>
    <row r="214" spans="10:10" s="28" customFormat="1" ht="13.9" customHeight="1" x14ac:dyDescent="0.2">
      <c r="J214" s="2"/>
    </row>
    <row r="215" spans="10:10" s="28" customFormat="1" ht="13.9" customHeight="1" x14ac:dyDescent="0.2">
      <c r="J215" s="2"/>
    </row>
    <row r="216" spans="10:10" s="28" customFormat="1" ht="13.9" customHeight="1" x14ac:dyDescent="0.2">
      <c r="J216" s="2"/>
    </row>
    <row r="217" spans="10:10" s="28" customFormat="1" ht="13.9" customHeight="1" x14ac:dyDescent="0.2">
      <c r="J217" s="2"/>
    </row>
    <row r="218" spans="10:10" s="28" customFormat="1" ht="13.9" customHeight="1" x14ac:dyDescent="0.2">
      <c r="J218" s="2"/>
    </row>
    <row r="219" spans="10:10" s="28" customFormat="1" ht="13.9" customHeight="1" x14ac:dyDescent="0.2">
      <c r="J219" s="2"/>
    </row>
    <row r="220" spans="10:10" s="28" customFormat="1" ht="13.9" customHeight="1" x14ac:dyDescent="0.2">
      <c r="J220" s="2"/>
    </row>
    <row r="221" spans="10:10" s="28" customFormat="1" ht="13.9" customHeight="1" x14ac:dyDescent="0.2">
      <c r="J221" s="2"/>
    </row>
    <row r="222" spans="10:10" s="28" customFormat="1" ht="13.9" customHeight="1" x14ac:dyDescent="0.2">
      <c r="J222" s="2"/>
    </row>
    <row r="223" spans="10:10" s="28" customFormat="1" ht="13.9" customHeight="1" x14ac:dyDescent="0.2">
      <c r="J223" s="2"/>
    </row>
    <row r="224" spans="10:10" s="28" customFormat="1" ht="13.9" customHeight="1" x14ac:dyDescent="0.2">
      <c r="J224" s="2"/>
    </row>
    <row r="225" spans="10:10" s="28" customFormat="1" ht="13.9" customHeight="1" x14ac:dyDescent="0.2">
      <c r="J225" s="2"/>
    </row>
    <row r="226" spans="10:10" s="28" customFormat="1" ht="13.9" customHeight="1" x14ac:dyDescent="0.2">
      <c r="J226" s="2"/>
    </row>
    <row r="227" spans="10:10" s="28" customFormat="1" ht="13.9" customHeight="1" x14ac:dyDescent="0.2">
      <c r="J227" s="2"/>
    </row>
    <row r="228" spans="10:10" s="28" customFormat="1" ht="13.9" customHeight="1" x14ac:dyDescent="0.2">
      <c r="J228" s="2"/>
    </row>
    <row r="229" spans="10:10" s="28" customFormat="1" ht="13.9" customHeight="1" x14ac:dyDescent="0.2">
      <c r="J229" s="2"/>
    </row>
    <row r="230" spans="10:10" s="28" customFormat="1" ht="13.9" customHeight="1" x14ac:dyDescent="0.2">
      <c r="J230" s="2"/>
    </row>
    <row r="231" spans="10:10" s="28" customFormat="1" ht="13.9" customHeight="1" x14ac:dyDescent="0.2">
      <c r="J231" s="2"/>
    </row>
    <row r="232" spans="10:10" s="28" customFormat="1" ht="13.9" customHeight="1" x14ac:dyDescent="0.2">
      <c r="J232" s="2"/>
    </row>
    <row r="233" spans="10:10" s="28" customFormat="1" ht="13.9" customHeight="1" x14ac:dyDescent="0.2">
      <c r="J233" s="2"/>
    </row>
    <row r="234" spans="10:10" s="28" customFormat="1" ht="13.9" customHeight="1" x14ac:dyDescent="0.2">
      <c r="J234" s="2"/>
    </row>
    <row r="235" spans="10:10" s="28" customFormat="1" ht="13.9" customHeight="1" x14ac:dyDescent="0.2">
      <c r="J235" s="2"/>
    </row>
    <row r="236" spans="10:10" s="28" customFormat="1" ht="13.9" customHeight="1" x14ac:dyDescent="0.2">
      <c r="J236" s="2"/>
    </row>
    <row r="237" spans="10:10" s="28" customFormat="1" ht="13.9" customHeight="1" x14ac:dyDescent="0.2">
      <c r="J237" s="2"/>
    </row>
    <row r="238" spans="10:10" s="28" customFormat="1" ht="13.9" customHeight="1" x14ac:dyDescent="0.2">
      <c r="J238" s="2"/>
    </row>
    <row r="239" spans="10:10" s="28" customFormat="1" ht="13.9" customHeight="1" x14ac:dyDescent="0.2">
      <c r="J239" s="2"/>
    </row>
    <row r="240" spans="10:10" s="28" customFormat="1" ht="13.9" customHeight="1" x14ac:dyDescent="0.2">
      <c r="J240" s="2"/>
    </row>
    <row r="241" spans="10:10" s="28" customFormat="1" ht="13.9" customHeight="1" x14ac:dyDescent="0.2">
      <c r="J241" s="2"/>
    </row>
    <row r="242" spans="10:10" s="28" customFormat="1" ht="13.9" customHeight="1" x14ac:dyDescent="0.2">
      <c r="J242" s="2"/>
    </row>
    <row r="243" spans="10:10" s="28" customFormat="1" ht="13.9" customHeight="1" x14ac:dyDescent="0.2">
      <c r="J243" s="2"/>
    </row>
    <row r="244" spans="10:10" s="28" customFormat="1" ht="13.9" customHeight="1" x14ac:dyDescent="0.2">
      <c r="J244" s="2"/>
    </row>
    <row r="245" spans="10:10" s="28" customFormat="1" ht="13.9" customHeight="1" x14ac:dyDescent="0.2">
      <c r="J245" s="2"/>
    </row>
    <row r="246" spans="10:10" s="28" customFormat="1" ht="13.9" customHeight="1" x14ac:dyDescent="0.2">
      <c r="J246" s="2"/>
    </row>
    <row r="247" spans="10:10" s="28" customFormat="1" ht="13.9" customHeight="1" x14ac:dyDescent="0.2">
      <c r="J247" s="2"/>
    </row>
    <row r="248" spans="10:10" s="28" customFormat="1" ht="13.9" customHeight="1" x14ac:dyDescent="0.2">
      <c r="J248" s="2"/>
    </row>
    <row r="249" spans="10:10" s="28" customFormat="1" ht="13.9" customHeight="1" x14ac:dyDescent="0.2">
      <c r="J249" s="2"/>
    </row>
    <row r="250" spans="10:10" s="28" customFormat="1" ht="13.9" customHeight="1" x14ac:dyDescent="0.2">
      <c r="J250" s="2"/>
    </row>
    <row r="251" spans="10:10" s="28" customFormat="1" ht="13.9" customHeight="1" x14ac:dyDescent="0.2">
      <c r="J251" s="2"/>
    </row>
    <row r="252" spans="10:10" s="28" customFormat="1" ht="13.9" customHeight="1" x14ac:dyDescent="0.2">
      <c r="J252" s="2"/>
    </row>
    <row r="253" spans="10:10" s="28" customFormat="1" ht="13.9" customHeight="1" x14ac:dyDescent="0.2">
      <c r="J253" s="2"/>
    </row>
    <row r="254" spans="10:10" s="28" customFormat="1" ht="13.9" customHeight="1" x14ac:dyDescent="0.2">
      <c r="J254" s="2"/>
    </row>
    <row r="255" spans="10:10" s="28" customFormat="1" ht="13.9" customHeight="1" x14ac:dyDescent="0.2">
      <c r="J255" s="2"/>
    </row>
    <row r="256" spans="10:10" s="28" customFormat="1" ht="13.9" customHeight="1" x14ac:dyDescent="0.2">
      <c r="J256" s="2"/>
    </row>
    <row r="257" spans="10:10" s="28" customFormat="1" ht="13.9" customHeight="1" x14ac:dyDescent="0.2">
      <c r="J257" s="2"/>
    </row>
    <row r="258" spans="10:10" s="28" customFormat="1" ht="13.9" customHeight="1" x14ac:dyDescent="0.2">
      <c r="J258" s="2"/>
    </row>
    <row r="259" spans="10:10" s="28" customFormat="1" ht="13.9" customHeight="1" x14ac:dyDescent="0.2">
      <c r="J259" s="2"/>
    </row>
    <row r="260" spans="10:10" s="28" customFormat="1" ht="13.9" customHeight="1" x14ac:dyDescent="0.2">
      <c r="J260" s="2"/>
    </row>
    <row r="261" spans="10:10" s="28" customFormat="1" ht="13.9" customHeight="1" x14ac:dyDescent="0.2">
      <c r="J261" s="2"/>
    </row>
    <row r="262" spans="10:10" s="28" customFormat="1" ht="13.9" customHeight="1" x14ac:dyDescent="0.2">
      <c r="J262" s="2"/>
    </row>
    <row r="263" spans="10:10" s="28" customFormat="1" ht="13.9" customHeight="1" x14ac:dyDescent="0.2">
      <c r="J263" s="2"/>
    </row>
    <row r="264" spans="10:10" s="28" customFormat="1" ht="13.9" customHeight="1" x14ac:dyDescent="0.2">
      <c r="J264" s="2"/>
    </row>
    <row r="265" spans="10:10" s="28" customFormat="1" ht="13.9" customHeight="1" x14ac:dyDescent="0.2">
      <c r="J265" s="2"/>
    </row>
    <row r="266" spans="10:10" s="28" customFormat="1" ht="13.9" customHeight="1" x14ac:dyDescent="0.2">
      <c r="J266" s="2"/>
    </row>
    <row r="267" spans="10:10" s="28" customFormat="1" ht="13.9" customHeight="1" x14ac:dyDescent="0.2">
      <c r="J267" s="2"/>
    </row>
    <row r="268" spans="10:10" s="28" customFormat="1" ht="13.9" customHeight="1" x14ac:dyDescent="0.2">
      <c r="J268" s="2"/>
    </row>
    <row r="269" spans="10:10" s="28" customFormat="1" ht="13.9" customHeight="1" x14ac:dyDescent="0.2">
      <c r="J269" s="2"/>
    </row>
    <row r="270" spans="10:10" s="28" customFormat="1" ht="13.9" customHeight="1" x14ac:dyDescent="0.2">
      <c r="J270" s="2"/>
    </row>
    <row r="271" spans="10:10" s="28" customFormat="1" ht="13.9" customHeight="1" x14ac:dyDescent="0.2">
      <c r="J271" s="2"/>
    </row>
    <row r="272" spans="10:10" s="28" customFormat="1" ht="13.9" customHeight="1" x14ac:dyDescent="0.2">
      <c r="J272" s="2"/>
    </row>
    <row r="273" spans="10:10" s="28" customFormat="1" ht="13.9" customHeight="1" x14ac:dyDescent="0.2">
      <c r="J273" s="2"/>
    </row>
    <row r="274" spans="10:10" s="28" customFormat="1" ht="13.9" customHeight="1" x14ac:dyDescent="0.2">
      <c r="J274" s="2"/>
    </row>
    <row r="275" spans="10:10" s="28" customFormat="1" ht="13.9" customHeight="1" x14ac:dyDescent="0.2">
      <c r="J275" s="2"/>
    </row>
    <row r="276" spans="10:10" s="28" customFormat="1" ht="13.9" customHeight="1" x14ac:dyDescent="0.2">
      <c r="J276" s="2"/>
    </row>
    <row r="277" spans="10:10" s="28" customFormat="1" ht="13.9" customHeight="1" x14ac:dyDescent="0.2">
      <c r="J277" s="2"/>
    </row>
    <row r="278" spans="10:10" s="28" customFormat="1" ht="13.9" customHeight="1" x14ac:dyDescent="0.2">
      <c r="J278" s="2"/>
    </row>
    <row r="279" spans="10:10" s="28" customFormat="1" ht="13.9" customHeight="1" x14ac:dyDescent="0.2">
      <c r="J279" s="2"/>
    </row>
    <row r="280" spans="10:10" s="28" customFormat="1" ht="13.9" customHeight="1" x14ac:dyDescent="0.2">
      <c r="J280" s="2"/>
    </row>
    <row r="281" spans="10:10" s="28" customFormat="1" ht="13.9" customHeight="1" x14ac:dyDescent="0.2">
      <c r="J281" s="2"/>
    </row>
    <row r="282" spans="10:10" s="28" customFormat="1" ht="13.9" customHeight="1" x14ac:dyDescent="0.2">
      <c r="J282" s="2"/>
    </row>
    <row r="283" spans="10:10" s="28" customFormat="1" ht="13.9" customHeight="1" x14ac:dyDescent="0.2">
      <c r="J283" s="2"/>
    </row>
    <row r="284" spans="10:10" s="28" customFormat="1" ht="13.9" customHeight="1" x14ac:dyDescent="0.2">
      <c r="J284" s="2"/>
    </row>
    <row r="285" spans="10:10" s="28" customFormat="1" ht="13.9" customHeight="1" x14ac:dyDescent="0.2">
      <c r="J285" s="2"/>
    </row>
    <row r="286" spans="10:10" s="28" customFormat="1" ht="13.9" customHeight="1" x14ac:dyDescent="0.2">
      <c r="J286" s="2"/>
    </row>
    <row r="287" spans="10:10" s="28" customFormat="1" ht="13.9" customHeight="1" x14ac:dyDescent="0.2">
      <c r="J287" s="2"/>
    </row>
    <row r="288" spans="10:10" s="28" customFormat="1" ht="13.9" customHeight="1" x14ac:dyDescent="0.2">
      <c r="J288" s="2"/>
    </row>
    <row r="289" spans="10:10" s="28" customFormat="1" ht="13.9" customHeight="1" x14ac:dyDescent="0.2">
      <c r="J289" s="2"/>
    </row>
    <row r="290" spans="10:10" s="28" customFormat="1" ht="13.9" customHeight="1" x14ac:dyDescent="0.2">
      <c r="J290" s="2"/>
    </row>
    <row r="291" spans="10:10" s="28" customFormat="1" ht="13.9" customHeight="1" x14ac:dyDescent="0.2">
      <c r="J291" s="2"/>
    </row>
    <row r="292" spans="10:10" s="28" customFormat="1" ht="13.9" customHeight="1" x14ac:dyDescent="0.2">
      <c r="J292" s="2"/>
    </row>
    <row r="293" spans="10:10" s="28" customFormat="1" ht="13.9" customHeight="1" x14ac:dyDescent="0.2">
      <c r="J293" s="2"/>
    </row>
    <row r="294" spans="10:10" s="28" customFormat="1" ht="13.9" customHeight="1" x14ac:dyDescent="0.2">
      <c r="J294" s="2"/>
    </row>
    <row r="295" spans="10:10" s="28" customFormat="1" ht="13.9" customHeight="1" x14ac:dyDescent="0.2">
      <c r="J295" s="2"/>
    </row>
    <row r="296" spans="10:10" s="28" customFormat="1" ht="13.9" customHeight="1" x14ac:dyDescent="0.2">
      <c r="J296" s="2"/>
    </row>
    <row r="297" spans="10:10" s="28" customFormat="1" ht="13.9" customHeight="1" x14ac:dyDescent="0.2">
      <c r="J297" s="2"/>
    </row>
    <row r="298" spans="10:10" s="28" customFormat="1" ht="13.9" customHeight="1" x14ac:dyDescent="0.2">
      <c r="J298" s="2"/>
    </row>
    <row r="299" spans="10:10" s="28" customFormat="1" ht="13.9" customHeight="1" x14ac:dyDescent="0.2">
      <c r="J299" s="2"/>
    </row>
    <row r="300" spans="10:10" s="28" customFormat="1" ht="13.9" customHeight="1" x14ac:dyDescent="0.2">
      <c r="J300" s="2"/>
    </row>
    <row r="301" spans="10:10" s="28" customFormat="1" ht="13.9" customHeight="1" x14ac:dyDescent="0.2">
      <c r="J301" s="2"/>
    </row>
    <row r="302" spans="10:10" s="28" customFormat="1" ht="13.9" customHeight="1" x14ac:dyDescent="0.2">
      <c r="J302" s="2"/>
    </row>
    <row r="303" spans="10:10" s="28" customFormat="1" ht="13.9" customHeight="1" x14ac:dyDescent="0.2">
      <c r="J303" s="2"/>
    </row>
    <row r="304" spans="10:10" s="28" customFormat="1" ht="13.9" customHeight="1" x14ac:dyDescent="0.2">
      <c r="J304" s="2"/>
    </row>
    <row r="305" spans="10:10" s="28" customFormat="1" ht="13.9" customHeight="1" x14ac:dyDescent="0.2">
      <c r="J305" s="2"/>
    </row>
    <row r="306" spans="10:10" s="28" customFormat="1" ht="13.9" customHeight="1" x14ac:dyDescent="0.2">
      <c r="J306" s="2"/>
    </row>
    <row r="307" spans="10:10" s="28" customFormat="1" ht="13.9" customHeight="1" x14ac:dyDescent="0.2">
      <c r="J307" s="2"/>
    </row>
    <row r="308" spans="10:10" s="28" customFormat="1" ht="13.9" customHeight="1" x14ac:dyDescent="0.2">
      <c r="J308" s="2"/>
    </row>
    <row r="309" spans="10:10" s="28" customFormat="1" ht="13.9" customHeight="1" x14ac:dyDescent="0.2">
      <c r="J309" s="2"/>
    </row>
    <row r="310" spans="10:10" s="28" customFormat="1" ht="13.9" customHeight="1" x14ac:dyDescent="0.2">
      <c r="J310" s="2"/>
    </row>
    <row r="311" spans="10:10" s="28" customFormat="1" ht="13.9" customHeight="1" x14ac:dyDescent="0.2">
      <c r="J311" s="2"/>
    </row>
    <row r="312" spans="10:10" s="28" customFormat="1" ht="13.9" customHeight="1" x14ac:dyDescent="0.2">
      <c r="J312" s="2"/>
    </row>
    <row r="313" spans="10:10" s="28" customFormat="1" ht="13.9" customHeight="1" x14ac:dyDescent="0.2">
      <c r="J313" s="2"/>
    </row>
    <row r="314" spans="10:10" s="28" customFormat="1" ht="13.9" customHeight="1" x14ac:dyDescent="0.2">
      <c r="J314" s="2"/>
    </row>
    <row r="315" spans="10:10" s="28" customFormat="1" ht="13.9" customHeight="1" x14ac:dyDescent="0.2">
      <c r="J315" s="2"/>
    </row>
    <row r="316" spans="10:10" s="28" customFormat="1" ht="13.9" customHeight="1" x14ac:dyDescent="0.2">
      <c r="J316" s="2"/>
    </row>
    <row r="317" spans="10:10" s="28" customFormat="1" ht="13.9" customHeight="1" x14ac:dyDescent="0.2">
      <c r="J317" s="2"/>
    </row>
    <row r="318" spans="10:10" s="28" customFormat="1" ht="13.9" customHeight="1" x14ac:dyDescent="0.2">
      <c r="J318" s="2"/>
    </row>
    <row r="319" spans="10:10" s="28" customFormat="1" ht="13.9" customHeight="1" x14ac:dyDescent="0.2">
      <c r="J319" s="2"/>
    </row>
    <row r="320" spans="10:10" s="28" customFormat="1" ht="13.9" customHeight="1" x14ac:dyDescent="0.2">
      <c r="J320" s="2"/>
    </row>
    <row r="321" spans="10:10" s="28" customFormat="1" ht="13.9" customHeight="1" x14ac:dyDescent="0.2">
      <c r="J321" s="2"/>
    </row>
    <row r="322" spans="10:10" s="28" customFormat="1" ht="13.9" customHeight="1" x14ac:dyDescent="0.2">
      <c r="J322" s="2"/>
    </row>
    <row r="323" spans="10:10" s="28" customFormat="1" ht="13.9" customHeight="1" x14ac:dyDescent="0.2">
      <c r="J323" s="2"/>
    </row>
    <row r="324" spans="10:10" s="28" customFormat="1" ht="13.9" customHeight="1" x14ac:dyDescent="0.2">
      <c r="J324" s="2"/>
    </row>
    <row r="325" spans="10:10" s="28" customFormat="1" ht="13.9" customHeight="1" x14ac:dyDescent="0.2">
      <c r="J325" s="2"/>
    </row>
    <row r="326" spans="10:10" s="28" customFormat="1" ht="13.9" customHeight="1" x14ac:dyDescent="0.2">
      <c r="J326" s="2"/>
    </row>
    <row r="327" spans="10:10" s="28" customFormat="1" ht="13.9" customHeight="1" x14ac:dyDescent="0.2">
      <c r="J327" s="2"/>
    </row>
    <row r="328" spans="10:10" s="28" customFormat="1" ht="13.9" customHeight="1" x14ac:dyDescent="0.2">
      <c r="J328" s="2"/>
    </row>
    <row r="329" spans="10:10" s="28" customFormat="1" ht="13.9" customHeight="1" x14ac:dyDescent="0.2">
      <c r="J329" s="2"/>
    </row>
    <row r="330" spans="10:10" s="28" customFormat="1" ht="13.9" customHeight="1" x14ac:dyDescent="0.2">
      <c r="J330" s="2"/>
    </row>
    <row r="331" spans="10:10" s="28" customFormat="1" ht="13.9" customHeight="1" x14ac:dyDescent="0.2">
      <c r="J331" s="2"/>
    </row>
    <row r="332" spans="10:10" s="28" customFormat="1" ht="13.9" customHeight="1" x14ac:dyDescent="0.2">
      <c r="J332" s="2"/>
    </row>
    <row r="333" spans="10:10" s="28" customFormat="1" ht="13.9" customHeight="1" x14ac:dyDescent="0.2">
      <c r="J333" s="2"/>
    </row>
    <row r="334" spans="10:10" s="28" customFormat="1" ht="13.9" customHeight="1" x14ac:dyDescent="0.2">
      <c r="J334" s="2"/>
    </row>
    <row r="335" spans="10:10" s="28" customFormat="1" ht="13.9" customHeight="1" x14ac:dyDescent="0.2">
      <c r="J335" s="2"/>
    </row>
    <row r="336" spans="10:10" s="28" customFormat="1" ht="13.9" customHeight="1" x14ac:dyDescent="0.2">
      <c r="J336" s="2"/>
    </row>
    <row r="337" spans="10:10" s="28" customFormat="1" ht="13.9" customHeight="1" x14ac:dyDescent="0.2">
      <c r="J337" s="2"/>
    </row>
    <row r="338" spans="10:10" s="28" customFormat="1" ht="13.9" customHeight="1" x14ac:dyDescent="0.2">
      <c r="J338" s="2"/>
    </row>
    <row r="339" spans="10:10" s="28" customFormat="1" ht="13.9" customHeight="1" x14ac:dyDescent="0.2">
      <c r="J339" s="2"/>
    </row>
    <row r="340" spans="10:10" s="28" customFormat="1" ht="13.9" customHeight="1" x14ac:dyDescent="0.2">
      <c r="J340" s="2"/>
    </row>
    <row r="341" spans="10:10" s="28" customFormat="1" ht="13.9" customHeight="1" x14ac:dyDescent="0.2">
      <c r="J341" s="2"/>
    </row>
    <row r="342" spans="10:10" s="28" customFormat="1" ht="13.9" customHeight="1" x14ac:dyDescent="0.2">
      <c r="J342" s="2"/>
    </row>
    <row r="343" spans="10:10" s="28" customFormat="1" ht="13.9" customHeight="1" x14ac:dyDescent="0.2">
      <c r="J343" s="2"/>
    </row>
    <row r="344" spans="10:10" s="28" customFormat="1" ht="13.9" customHeight="1" x14ac:dyDescent="0.2">
      <c r="J344" s="2"/>
    </row>
    <row r="345" spans="10:10" s="28" customFormat="1" ht="13.9" customHeight="1" x14ac:dyDescent="0.2">
      <c r="J345" s="2"/>
    </row>
    <row r="346" spans="10:10" s="28" customFormat="1" ht="13.9" customHeight="1" x14ac:dyDescent="0.2">
      <c r="J346" s="2"/>
    </row>
    <row r="347" spans="10:10" s="28" customFormat="1" ht="13.9" customHeight="1" x14ac:dyDescent="0.2">
      <c r="J347" s="2"/>
    </row>
    <row r="348" spans="10:10" s="28" customFormat="1" ht="13.9" customHeight="1" x14ac:dyDescent="0.2">
      <c r="J348" s="2"/>
    </row>
    <row r="349" spans="10:10" s="28" customFormat="1" ht="13.9" customHeight="1" x14ac:dyDescent="0.2">
      <c r="J349" s="2"/>
    </row>
    <row r="350" spans="10:10" s="28" customFormat="1" ht="13.9" customHeight="1" x14ac:dyDescent="0.2">
      <c r="J350" s="2"/>
    </row>
    <row r="351" spans="10:10" s="28" customFormat="1" ht="13.9" customHeight="1" x14ac:dyDescent="0.2">
      <c r="J351" s="2"/>
    </row>
    <row r="352" spans="10:10" s="28" customFormat="1" ht="13.9" customHeight="1" x14ac:dyDescent="0.2">
      <c r="J352" s="2"/>
    </row>
    <row r="353" spans="10:10" s="28" customFormat="1" ht="13.9" customHeight="1" x14ac:dyDescent="0.2">
      <c r="J353" s="2"/>
    </row>
    <row r="354" spans="10:10" s="28" customFormat="1" ht="13.9" customHeight="1" x14ac:dyDescent="0.2">
      <c r="J354" s="2"/>
    </row>
    <row r="355" spans="10:10" s="28" customFormat="1" ht="13.9" customHeight="1" x14ac:dyDescent="0.2">
      <c r="J355" s="2"/>
    </row>
    <row r="356" spans="10:10" s="28" customFormat="1" ht="13.9" customHeight="1" x14ac:dyDescent="0.2">
      <c r="J356" s="2"/>
    </row>
    <row r="357" spans="10:10" s="28" customFormat="1" ht="13.9" customHeight="1" x14ac:dyDescent="0.2">
      <c r="J357" s="2"/>
    </row>
    <row r="358" spans="10:10" s="28" customFormat="1" ht="13.9" customHeight="1" x14ac:dyDescent="0.2">
      <c r="J358" s="2"/>
    </row>
    <row r="359" spans="10:10" s="28" customFormat="1" ht="13.9" customHeight="1" x14ac:dyDescent="0.2">
      <c r="J359" s="2"/>
    </row>
    <row r="360" spans="10:10" s="28" customFormat="1" ht="13.9" customHeight="1" x14ac:dyDescent="0.2">
      <c r="J360" s="2"/>
    </row>
    <row r="361" spans="10:10" s="28" customFormat="1" ht="13.9" customHeight="1" x14ac:dyDescent="0.2">
      <c r="J361" s="2"/>
    </row>
    <row r="362" spans="10:10" s="28" customFormat="1" ht="13.9" customHeight="1" x14ac:dyDescent="0.2">
      <c r="J362" s="2"/>
    </row>
    <row r="363" spans="10:10" s="28" customFormat="1" ht="13.9" customHeight="1" x14ac:dyDescent="0.2">
      <c r="J363" s="2"/>
    </row>
    <row r="364" spans="10:10" s="28" customFormat="1" ht="13.9" customHeight="1" x14ac:dyDescent="0.2">
      <c r="J364" s="2"/>
    </row>
    <row r="365" spans="10:10" s="28" customFormat="1" ht="13.9" customHeight="1" x14ac:dyDescent="0.2">
      <c r="J365" s="2"/>
    </row>
    <row r="366" spans="10:10" s="28" customFormat="1" ht="13.9" customHeight="1" x14ac:dyDescent="0.2">
      <c r="J366" s="2"/>
    </row>
    <row r="367" spans="10:10" s="28" customFormat="1" ht="13.9" customHeight="1" x14ac:dyDescent="0.2">
      <c r="J367" s="2"/>
    </row>
    <row r="368" spans="10:10" s="28" customFormat="1" ht="13.9" customHeight="1" x14ac:dyDescent="0.2">
      <c r="J368" s="2"/>
    </row>
    <row r="369" spans="10:10" s="28" customFormat="1" ht="13.9" customHeight="1" x14ac:dyDescent="0.2">
      <c r="J369" s="2"/>
    </row>
    <row r="370" spans="10:10" s="28" customFormat="1" ht="13.9" customHeight="1" x14ac:dyDescent="0.2">
      <c r="J370" s="2"/>
    </row>
    <row r="371" spans="10:10" s="28" customFormat="1" ht="13.9" customHeight="1" x14ac:dyDescent="0.2">
      <c r="J371" s="2"/>
    </row>
    <row r="372" spans="10:10" s="28" customFormat="1" ht="13.9" customHeight="1" x14ac:dyDescent="0.2">
      <c r="J372" s="2"/>
    </row>
    <row r="373" spans="10:10" s="28" customFormat="1" ht="13.9" customHeight="1" x14ac:dyDescent="0.2">
      <c r="J373" s="2"/>
    </row>
    <row r="374" spans="10:10" s="28" customFormat="1" ht="13.9" customHeight="1" x14ac:dyDescent="0.2">
      <c r="J374" s="2"/>
    </row>
    <row r="375" spans="10:10" s="28" customFormat="1" ht="13.9" customHeight="1" x14ac:dyDescent="0.2">
      <c r="J375" s="2"/>
    </row>
    <row r="376" spans="10:10" s="28" customFormat="1" ht="13.9" customHeight="1" x14ac:dyDescent="0.2">
      <c r="J376" s="2"/>
    </row>
    <row r="377" spans="10:10" s="28" customFormat="1" ht="13.9" customHeight="1" x14ac:dyDescent="0.2">
      <c r="J377" s="2"/>
    </row>
    <row r="378" spans="10:10" s="28" customFormat="1" ht="13.9" customHeight="1" x14ac:dyDescent="0.2">
      <c r="J378" s="2"/>
    </row>
    <row r="379" spans="10:10" s="28" customFormat="1" ht="13.9" customHeight="1" x14ac:dyDescent="0.2">
      <c r="J379" s="2"/>
    </row>
    <row r="380" spans="10:10" s="28" customFormat="1" ht="13.9" customHeight="1" x14ac:dyDescent="0.2">
      <c r="J380" s="2"/>
    </row>
    <row r="381" spans="10:10" s="28" customFormat="1" ht="13.9" customHeight="1" x14ac:dyDescent="0.2">
      <c r="J381" s="2"/>
    </row>
    <row r="382" spans="10:10" s="28" customFormat="1" ht="13.9" customHeight="1" x14ac:dyDescent="0.2">
      <c r="J382" s="2"/>
    </row>
    <row r="383" spans="10:10" s="28" customFormat="1" ht="13.9" customHeight="1" x14ac:dyDescent="0.2">
      <c r="J383" s="2"/>
    </row>
    <row r="384" spans="10:10" s="28" customFormat="1" ht="13.9" customHeight="1" x14ac:dyDescent="0.2">
      <c r="J384" s="2"/>
    </row>
    <row r="385" spans="10:10" s="28" customFormat="1" ht="13.9" customHeight="1" x14ac:dyDescent="0.2">
      <c r="J385" s="2"/>
    </row>
    <row r="386" spans="10:10" s="28" customFormat="1" ht="13.9" customHeight="1" x14ac:dyDescent="0.2">
      <c r="J386" s="2"/>
    </row>
    <row r="387" spans="10:10" s="28" customFormat="1" ht="13.9" customHeight="1" x14ac:dyDescent="0.2">
      <c r="J387" s="2"/>
    </row>
    <row r="388" spans="10:10" s="28" customFormat="1" ht="13.9" customHeight="1" x14ac:dyDescent="0.2">
      <c r="J388" s="2"/>
    </row>
    <row r="389" spans="10:10" s="28" customFormat="1" ht="13.9" customHeight="1" x14ac:dyDescent="0.2">
      <c r="J389" s="2"/>
    </row>
    <row r="390" spans="10:10" s="28" customFormat="1" ht="13.9" customHeight="1" x14ac:dyDescent="0.2">
      <c r="J390" s="2"/>
    </row>
    <row r="391" spans="10:10" s="28" customFormat="1" ht="13.9" customHeight="1" x14ac:dyDescent="0.2">
      <c r="J391" s="2"/>
    </row>
    <row r="392" spans="10:10" s="28" customFormat="1" ht="13.9" customHeight="1" x14ac:dyDescent="0.2">
      <c r="J392" s="2"/>
    </row>
    <row r="393" spans="10:10" s="28" customFormat="1" ht="13.9" customHeight="1" x14ac:dyDescent="0.2">
      <c r="J393" s="2"/>
    </row>
    <row r="394" spans="10:10" s="28" customFormat="1" ht="13.9" customHeight="1" x14ac:dyDescent="0.2">
      <c r="J394" s="2"/>
    </row>
    <row r="395" spans="10:10" s="28" customFormat="1" ht="13.9" customHeight="1" x14ac:dyDescent="0.2">
      <c r="J395" s="2"/>
    </row>
    <row r="396" spans="10:10" s="28" customFormat="1" ht="13.9" customHeight="1" x14ac:dyDescent="0.2">
      <c r="J396" s="2"/>
    </row>
    <row r="397" spans="10:10" s="28" customFormat="1" ht="13.9" customHeight="1" x14ac:dyDescent="0.2">
      <c r="J397" s="2"/>
    </row>
    <row r="398" spans="10:10" s="28" customFormat="1" ht="13.9" customHeight="1" x14ac:dyDescent="0.2">
      <c r="J398" s="2"/>
    </row>
    <row r="399" spans="10:10" s="28" customFormat="1" ht="13.9" customHeight="1" x14ac:dyDescent="0.2">
      <c r="J399" s="2"/>
    </row>
    <row r="400" spans="10:10" s="28" customFormat="1" ht="13.9" customHeight="1" x14ac:dyDescent="0.2">
      <c r="J400" s="2"/>
    </row>
    <row r="401" spans="10:10" s="28" customFormat="1" ht="13.9" customHeight="1" x14ac:dyDescent="0.2">
      <c r="J401" s="2"/>
    </row>
    <row r="402" spans="10:10" s="28" customFormat="1" ht="13.9" customHeight="1" x14ac:dyDescent="0.2">
      <c r="J402" s="2"/>
    </row>
    <row r="403" spans="10:10" s="28" customFormat="1" ht="13.9" customHeight="1" x14ac:dyDescent="0.2">
      <c r="J403" s="2"/>
    </row>
    <row r="404" spans="10:10" s="28" customFormat="1" ht="13.9" customHeight="1" x14ac:dyDescent="0.2">
      <c r="J404" s="2"/>
    </row>
    <row r="405" spans="10:10" s="28" customFormat="1" ht="13.9" customHeight="1" x14ac:dyDescent="0.2">
      <c r="J405" s="2"/>
    </row>
    <row r="406" spans="10:10" s="28" customFormat="1" ht="13.9" customHeight="1" x14ac:dyDescent="0.2">
      <c r="J406" s="2"/>
    </row>
    <row r="407" spans="10:10" s="28" customFormat="1" ht="13.9" customHeight="1" x14ac:dyDescent="0.2">
      <c r="J407" s="2"/>
    </row>
    <row r="408" spans="10:10" s="28" customFormat="1" ht="13.9" customHeight="1" x14ac:dyDescent="0.2">
      <c r="J408" s="2"/>
    </row>
    <row r="409" spans="10:10" s="28" customFormat="1" ht="13.9" customHeight="1" x14ac:dyDescent="0.2">
      <c r="J409" s="2"/>
    </row>
    <row r="410" spans="10:10" s="28" customFormat="1" ht="13.9" customHeight="1" x14ac:dyDescent="0.2">
      <c r="J410" s="2"/>
    </row>
    <row r="411" spans="10:10" s="28" customFormat="1" ht="13.9" customHeight="1" x14ac:dyDescent="0.2">
      <c r="J411" s="2"/>
    </row>
    <row r="412" spans="10:10" s="28" customFormat="1" ht="13.9" customHeight="1" x14ac:dyDescent="0.2">
      <c r="J412" s="2"/>
    </row>
    <row r="413" spans="10:10" s="28" customFormat="1" ht="13.9" customHeight="1" x14ac:dyDescent="0.2">
      <c r="J413" s="2"/>
    </row>
    <row r="414" spans="10:10" s="28" customFormat="1" ht="13.9" customHeight="1" x14ac:dyDescent="0.2">
      <c r="J414" s="2"/>
    </row>
    <row r="415" spans="10:10" s="28" customFormat="1" ht="13.9" customHeight="1" x14ac:dyDescent="0.2">
      <c r="J415" s="2"/>
    </row>
    <row r="416" spans="10:10" s="28" customFormat="1" ht="13.9" customHeight="1" x14ac:dyDescent="0.2">
      <c r="J416" s="2"/>
    </row>
    <row r="417" spans="10:10" s="28" customFormat="1" ht="13.9" customHeight="1" x14ac:dyDescent="0.2">
      <c r="J417" s="2"/>
    </row>
    <row r="418" spans="10:10" s="28" customFormat="1" ht="13.9" customHeight="1" x14ac:dyDescent="0.2">
      <c r="J418" s="2"/>
    </row>
    <row r="419" spans="10:10" s="28" customFormat="1" ht="13.9" customHeight="1" x14ac:dyDescent="0.2">
      <c r="J419" s="2"/>
    </row>
    <row r="420" spans="10:10" s="28" customFormat="1" ht="13.9" customHeight="1" x14ac:dyDescent="0.2">
      <c r="J420" s="2"/>
    </row>
    <row r="421" spans="10:10" s="28" customFormat="1" ht="13.9" customHeight="1" x14ac:dyDescent="0.2">
      <c r="J421" s="2"/>
    </row>
    <row r="422" spans="10:10" s="28" customFormat="1" ht="13.9" customHeight="1" x14ac:dyDescent="0.2">
      <c r="J422" s="2"/>
    </row>
    <row r="423" spans="10:10" s="28" customFormat="1" ht="13.9" customHeight="1" x14ac:dyDescent="0.2">
      <c r="J423" s="2"/>
    </row>
    <row r="424" spans="10:10" s="28" customFormat="1" ht="13.9" customHeight="1" x14ac:dyDescent="0.2">
      <c r="J424" s="2"/>
    </row>
    <row r="425" spans="10:10" s="28" customFormat="1" ht="13.9" customHeight="1" x14ac:dyDescent="0.2">
      <c r="J425" s="2"/>
    </row>
    <row r="426" spans="10:10" s="28" customFormat="1" ht="13.9" customHeight="1" x14ac:dyDescent="0.2">
      <c r="J426" s="2"/>
    </row>
    <row r="427" spans="10:10" s="28" customFormat="1" ht="13.9" customHeight="1" x14ac:dyDescent="0.2">
      <c r="J427" s="2"/>
    </row>
    <row r="428" spans="10:10" s="28" customFormat="1" ht="13.9" customHeight="1" x14ac:dyDescent="0.2">
      <c r="J428" s="2"/>
    </row>
    <row r="429" spans="10:10" s="28" customFormat="1" ht="13.9" customHeight="1" x14ac:dyDescent="0.2">
      <c r="J429" s="2"/>
    </row>
    <row r="430" spans="10:10" s="28" customFormat="1" ht="13.9" customHeight="1" x14ac:dyDescent="0.2">
      <c r="J430" s="2"/>
    </row>
    <row r="431" spans="10:10" s="28" customFormat="1" ht="13.9" customHeight="1" x14ac:dyDescent="0.2">
      <c r="J431" s="2"/>
    </row>
    <row r="432" spans="10:10" s="28" customFormat="1" ht="13.9" customHeight="1" x14ac:dyDescent="0.2">
      <c r="J432" s="2"/>
    </row>
    <row r="433" spans="10:10" s="28" customFormat="1" ht="13.9" customHeight="1" x14ac:dyDescent="0.2">
      <c r="J433" s="2"/>
    </row>
    <row r="434" spans="10:10" s="28" customFormat="1" ht="13.9" customHeight="1" x14ac:dyDescent="0.2">
      <c r="J434" s="2"/>
    </row>
    <row r="435" spans="10:10" s="28" customFormat="1" ht="13.9" customHeight="1" x14ac:dyDescent="0.2">
      <c r="J435" s="2"/>
    </row>
    <row r="436" spans="10:10" s="28" customFormat="1" ht="13.9" customHeight="1" x14ac:dyDescent="0.2">
      <c r="J436" s="2"/>
    </row>
    <row r="437" spans="10:10" s="28" customFormat="1" ht="13.9" customHeight="1" x14ac:dyDescent="0.2">
      <c r="J437" s="2"/>
    </row>
    <row r="438" spans="10:10" s="28" customFormat="1" ht="13.9" customHeight="1" x14ac:dyDescent="0.2">
      <c r="J438" s="2"/>
    </row>
    <row r="439" spans="10:10" s="28" customFormat="1" ht="13.9" customHeight="1" x14ac:dyDescent="0.2">
      <c r="J439" s="2"/>
    </row>
    <row r="440" spans="10:10" s="28" customFormat="1" ht="13.9" customHeight="1" x14ac:dyDescent="0.2">
      <c r="J440" s="2"/>
    </row>
    <row r="441" spans="10:10" s="28" customFormat="1" ht="13.9" customHeight="1" x14ac:dyDescent="0.2">
      <c r="J441" s="2"/>
    </row>
    <row r="442" spans="10:10" s="28" customFormat="1" ht="13.9" customHeight="1" x14ac:dyDescent="0.2">
      <c r="J442" s="2"/>
    </row>
    <row r="443" spans="10:10" s="28" customFormat="1" ht="13.9" customHeight="1" x14ac:dyDescent="0.2">
      <c r="J443" s="2"/>
    </row>
    <row r="444" spans="10:10" s="28" customFormat="1" ht="13.9" customHeight="1" x14ac:dyDescent="0.2">
      <c r="J444" s="2"/>
    </row>
    <row r="445" spans="10:10" s="28" customFormat="1" ht="13.9" customHeight="1" x14ac:dyDescent="0.2">
      <c r="J445" s="2"/>
    </row>
    <row r="446" spans="10:10" s="28" customFormat="1" ht="13.9" customHeight="1" x14ac:dyDescent="0.2">
      <c r="J446" s="2"/>
    </row>
    <row r="447" spans="10:10" s="28" customFormat="1" ht="13.9" customHeight="1" x14ac:dyDescent="0.2">
      <c r="J447" s="2"/>
    </row>
    <row r="448" spans="10:10" s="28" customFormat="1" ht="13.9" customHeight="1" x14ac:dyDescent="0.2">
      <c r="J448" s="2"/>
    </row>
    <row r="449" spans="10:10" s="28" customFormat="1" ht="13.9" customHeight="1" x14ac:dyDescent="0.2">
      <c r="J449" s="2"/>
    </row>
    <row r="450" spans="10:10" s="28" customFormat="1" ht="13.9" customHeight="1" x14ac:dyDescent="0.2">
      <c r="J450" s="2"/>
    </row>
    <row r="451" spans="10:10" s="28" customFormat="1" ht="13.9" customHeight="1" x14ac:dyDescent="0.2">
      <c r="J451" s="2"/>
    </row>
    <row r="452" spans="10:10" s="28" customFormat="1" ht="13.9" customHeight="1" x14ac:dyDescent="0.2">
      <c r="J452" s="2"/>
    </row>
    <row r="453" spans="10:10" s="28" customFormat="1" ht="13.9" customHeight="1" x14ac:dyDescent="0.2">
      <c r="J453" s="2"/>
    </row>
    <row r="454" spans="10:10" s="28" customFormat="1" ht="13.9" customHeight="1" x14ac:dyDescent="0.2">
      <c r="J454" s="2"/>
    </row>
    <row r="455" spans="10:10" s="28" customFormat="1" ht="13.9" customHeight="1" x14ac:dyDescent="0.2">
      <c r="J455" s="2"/>
    </row>
    <row r="456" spans="10:10" s="28" customFormat="1" ht="13.9" customHeight="1" x14ac:dyDescent="0.2">
      <c r="J456" s="2"/>
    </row>
    <row r="457" spans="10:10" s="28" customFormat="1" ht="13.9" customHeight="1" x14ac:dyDescent="0.2">
      <c r="J457" s="2"/>
    </row>
    <row r="458" spans="10:10" s="28" customFormat="1" ht="13.9" customHeight="1" x14ac:dyDescent="0.2">
      <c r="J458" s="2"/>
    </row>
    <row r="459" spans="10:10" s="28" customFormat="1" ht="13.9" customHeight="1" x14ac:dyDescent="0.2">
      <c r="J459" s="2"/>
    </row>
    <row r="460" spans="10:10" s="28" customFormat="1" ht="13.9" customHeight="1" x14ac:dyDescent="0.2">
      <c r="J460" s="2"/>
    </row>
    <row r="461" spans="10:10" s="28" customFormat="1" ht="13.9" customHeight="1" x14ac:dyDescent="0.2">
      <c r="J461" s="2"/>
    </row>
    <row r="462" spans="10:10" s="28" customFormat="1" ht="13.9" customHeight="1" x14ac:dyDescent="0.2">
      <c r="J462" s="2"/>
    </row>
    <row r="463" spans="10:10" s="28" customFormat="1" ht="13.9" customHeight="1" x14ac:dyDescent="0.2">
      <c r="J463" s="2"/>
    </row>
    <row r="464" spans="10:10" s="28" customFormat="1" ht="13.9" customHeight="1" x14ac:dyDescent="0.2">
      <c r="J464" s="2"/>
    </row>
    <row r="465" spans="10:10" s="28" customFormat="1" ht="13.9" customHeight="1" x14ac:dyDescent="0.2">
      <c r="J465" s="2"/>
    </row>
    <row r="466" spans="10:10" s="28" customFormat="1" ht="13.9" customHeight="1" x14ac:dyDescent="0.2">
      <c r="J466" s="2"/>
    </row>
    <row r="467" spans="10:10" s="28" customFormat="1" ht="13.9" customHeight="1" x14ac:dyDescent="0.2">
      <c r="J467" s="2"/>
    </row>
  </sheetData>
  <sheetProtection algorithmName="SHA-512" hashValue="La/cKhSjE5g2U22rz7lzWWr8cgyk2IYWDsgElEk/QDs+JqbigAbPKWFs5HkRNjgAERbIUiBBKxL2eDyfzbk8ng==" saltValue="CrDMqCi4+ixNUYbxw7rplw==" spinCount="100000" sheet="1" objects="1" scenarios="1"/>
  <mergeCells count="37">
    <mergeCell ref="K65:L65"/>
    <mergeCell ref="K14:L14"/>
    <mergeCell ref="K19:L19"/>
    <mergeCell ref="K21:L21"/>
    <mergeCell ref="S57:T57"/>
    <mergeCell ref="K54:K55"/>
    <mergeCell ref="K57:K58"/>
    <mergeCell ref="P57:Q57"/>
    <mergeCell ref="L58:M58"/>
    <mergeCell ref="K60:L60"/>
    <mergeCell ref="N63:O63"/>
    <mergeCell ref="P44:Q44"/>
    <mergeCell ref="L45:M45"/>
    <mergeCell ref="O45:P45"/>
    <mergeCell ref="K47:L47"/>
    <mergeCell ref="M51:M52"/>
    <mergeCell ref="P51:P52"/>
    <mergeCell ref="K52:L52"/>
    <mergeCell ref="N52:O52"/>
    <mergeCell ref="K31:L31"/>
    <mergeCell ref="L37:L38"/>
    <mergeCell ref="O37:O38"/>
    <mergeCell ref="M38:N38"/>
    <mergeCell ref="K40:K41"/>
    <mergeCell ref="K44:K45"/>
    <mergeCell ref="Q28:R28"/>
    <mergeCell ref="A1:X1"/>
    <mergeCell ref="K6:L6"/>
    <mergeCell ref="K7:L7"/>
    <mergeCell ref="K8:L8"/>
    <mergeCell ref="K9:L9"/>
    <mergeCell ref="K10:L10"/>
    <mergeCell ref="K11:L11"/>
    <mergeCell ref="K12:L12"/>
    <mergeCell ref="K13:L13"/>
    <mergeCell ref="K23:L23"/>
    <mergeCell ref="M28:N28"/>
  </mergeCells>
  <printOptions gridLines="1"/>
  <pageMargins left="0.7" right="0.45" top="0.5" bottom="0.5" header="0.3" footer="0.3"/>
  <pageSetup orientation="portrait" r:id="rId1"/>
  <headerFooter>
    <oddFooter>&amp;CPage &amp;P+3 of 9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467"/>
  <sheetViews>
    <sheetView zoomScaleNormal="100" workbookViewId="0">
      <selection activeCell="J2" sqref="J2"/>
    </sheetView>
  </sheetViews>
  <sheetFormatPr defaultRowHeight="12.75" x14ac:dyDescent="0.2"/>
  <cols>
    <col min="1" max="9" width="3.28515625" customWidth="1"/>
    <col min="10" max="10" width="3.28515625" style="50" customWidth="1"/>
    <col min="11" max="12" width="3.28515625" customWidth="1"/>
    <col min="13" max="13" width="3.140625" customWidth="1"/>
    <col min="14" max="31" width="3.28515625" customWidth="1"/>
  </cols>
  <sheetData>
    <row r="1" spans="1:27" s="76" customFormat="1" ht="13.9" customHeight="1" x14ac:dyDescent="0.2">
      <c r="A1" s="165" t="s">
        <v>123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77"/>
      <c r="Z1" s="77"/>
      <c r="AA1" s="78"/>
    </row>
    <row r="2" spans="1:27" s="76" customFormat="1" ht="13.9" customHeight="1" x14ac:dyDescent="0.2">
      <c r="A2" s="79"/>
      <c r="B2" s="80"/>
      <c r="C2" s="80"/>
      <c r="D2" s="80"/>
      <c r="E2" s="80"/>
      <c r="F2" s="80"/>
      <c r="G2" s="80"/>
      <c r="H2" s="80"/>
      <c r="I2" s="80"/>
      <c r="J2" s="81" t="s">
        <v>124</v>
      </c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2"/>
      <c r="Z2" s="82"/>
      <c r="AA2" s="83"/>
    </row>
    <row r="3" spans="1:27" s="76" customFormat="1" ht="13.9" customHeight="1" x14ac:dyDescent="0.2">
      <c r="A3" s="122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2"/>
      <c r="Z3" s="82"/>
      <c r="AA3" s="83"/>
    </row>
    <row r="4" spans="1:27" s="76" customFormat="1" ht="13.9" customHeight="1" x14ac:dyDescent="0.2">
      <c r="A4" s="84" t="s">
        <v>139</v>
      </c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2"/>
      <c r="Z4" s="82"/>
      <c r="AA4" s="83"/>
    </row>
    <row r="5" spans="1:27" s="28" customFormat="1" ht="13.9" customHeight="1" x14ac:dyDescent="0.2">
      <c r="A5" s="123"/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52"/>
      <c r="Z5" s="52"/>
      <c r="AA5" s="88"/>
    </row>
    <row r="6" spans="1:27" s="28" customFormat="1" ht="16.899999999999999" customHeight="1" x14ac:dyDescent="0.2">
      <c r="A6" s="89" t="s">
        <v>11</v>
      </c>
      <c r="B6" s="52"/>
      <c r="C6" s="52"/>
      <c r="D6" s="52"/>
      <c r="E6" s="52"/>
      <c r="F6" s="52"/>
      <c r="G6" s="90"/>
      <c r="H6" s="52"/>
      <c r="I6" s="52"/>
      <c r="J6" s="91" t="s">
        <v>79</v>
      </c>
      <c r="K6" s="168" t="s">
        <v>80</v>
      </c>
      <c r="L6" s="168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88"/>
    </row>
    <row r="7" spans="1:27" s="28" customFormat="1" ht="16.899999999999999" customHeight="1" x14ac:dyDescent="0.2">
      <c r="A7" s="89" t="s">
        <v>84</v>
      </c>
      <c r="B7" s="52"/>
      <c r="C7" s="52"/>
      <c r="D7" s="52"/>
      <c r="E7" s="52"/>
      <c r="F7" s="52"/>
      <c r="G7" s="52"/>
      <c r="H7" s="52"/>
      <c r="I7" s="52" t="s">
        <v>85</v>
      </c>
      <c r="J7" s="75" t="s">
        <v>79</v>
      </c>
      <c r="K7" s="167">
        <v>60.3</v>
      </c>
      <c r="L7" s="167"/>
      <c r="M7" s="52"/>
      <c r="N7" s="52"/>
      <c r="O7" s="52"/>
      <c r="P7" s="52" t="s">
        <v>3</v>
      </c>
      <c r="Q7" s="52"/>
      <c r="R7" s="52"/>
      <c r="S7" s="52"/>
      <c r="T7" s="52"/>
      <c r="U7" s="52"/>
      <c r="V7" s="52"/>
      <c r="W7" s="52"/>
      <c r="X7" s="52"/>
      <c r="Y7" s="52"/>
      <c r="Z7" s="52"/>
      <c r="AA7" s="88"/>
    </row>
    <row r="8" spans="1:27" s="28" customFormat="1" ht="16.899999999999999" customHeight="1" x14ac:dyDescent="0.2">
      <c r="A8" s="89" t="s">
        <v>86</v>
      </c>
      <c r="B8" s="52"/>
      <c r="C8" s="52"/>
      <c r="D8" s="52"/>
      <c r="E8" s="52"/>
      <c r="F8" s="52"/>
      <c r="G8" s="52"/>
      <c r="H8" s="52"/>
      <c r="I8" s="52"/>
      <c r="J8" s="75" t="s">
        <v>79</v>
      </c>
      <c r="K8" s="167" t="s">
        <v>7</v>
      </c>
      <c r="L8" s="167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88"/>
    </row>
    <row r="9" spans="1:27" s="28" customFormat="1" ht="16.899999999999999" customHeight="1" x14ac:dyDescent="0.2">
      <c r="A9" s="89" t="s">
        <v>87</v>
      </c>
      <c r="B9" s="52"/>
      <c r="C9" s="52"/>
      <c r="D9" s="52"/>
      <c r="E9" s="52"/>
      <c r="F9" s="52"/>
      <c r="G9" s="52"/>
      <c r="H9" s="52"/>
      <c r="I9" s="52" t="s">
        <v>88</v>
      </c>
      <c r="J9" s="75" t="s">
        <v>79</v>
      </c>
      <c r="K9" s="169">
        <v>3.91</v>
      </c>
      <c r="L9" s="169"/>
      <c r="M9" s="52"/>
      <c r="N9" s="52"/>
      <c r="O9" s="52"/>
      <c r="P9" s="52" t="s">
        <v>3</v>
      </c>
      <c r="Q9" s="52"/>
      <c r="R9" s="52"/>
      <c r="S9" s="52"/>
      <c r="T9" s="52"/>
      <c r="U9" s="52"/>
      <c r="V9" s="52"/>
      <c r="W9" s="52"/>
      <c r="X9" s="52"/>
      <c r="Y9" s="52"/>
      <c r="Z9" s="52"/>
      <c r="AA9" s="88"/>
    </row>
    <row r="10" spans="1:27" s="28" customFormat="1" ht="16.899999999999999" customHeight="1" x14ac:dyDescent="0.2">
      <c r="A10" s="89" t="s">
        <v>89</v>
      </c>
      <c r="B10" s="52"/>
      <c r="C10" s="52"/>
      <c r="D10" s="52"/>
      <c r="E10" s="52"/>
      <c r="F10" s="52"/>
      <c r="G10" s="52"/>
      <c r="H10" s="52"/>
      <c r="I10" s="52" t="s">
        <v>90</v>
      </c>
      <c r="J10" s="75" t="s">
        <v>79</v>
      </c>
      <c r="K10" s="164">
        <f>K7-2*K9</f>
        <v>52.48</v>
      </c>
      <c r="L10" s="164"/>
      <c r="M10" s="52"/>
      <c r="N10" s="52"/>
      <c r="O10" s="52"/>
      <c r="P10" s="52" t="s">
        <v>3</v>
      </c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88"/>
    </row>
    <row r="11" spans="1:27" s="28" customFormat="1" ht="16.899999999999999" customHeight="1" x14ac:dyDescent="0.2">
      <c r="A11" s="89" t="s">
        <v>91</v>
      </c>
      <c r="B11" s="52"/>
      <c r="C11" s="52"/>
      <c r="D11" s="52"/>
      <c r="E11" s="52"/>
      <c r="F11" s="52"/>
      <c r="G11" s="52"/>
      <c r="H11" s="52"/>
      <c r="I11" s="52" t="s">
        <v>92</v>
      </c>
      <c r="J11" s="75" t="s">
        <v>79</v>
      </c>
      <c r="K11" s="172">
        <v>210000</v>
      </c>
      <c r="L11" s="172"/>
      <c r="M11" s="52"/>
      <c r="N11" s="52"/>
      <c r="O11" s="52"/>
      <c r="P11" s="52" t="s">
        <v>81</v>
      </c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88"/>
    </row>
    <row r="12" spans="1:27" s="28" customFormat="1" ht="16.899999999999999" customHeight="1" x14ac:dyDescent="0.2">
      <c r="A12" s="89" t="s">
        <v>1</v>
      </c>
      <c r="B12" s="52"/>
      <c r="C12" s="52"/>
      <c r="D12" s="52"/>
      <c r="E12" s="52"/>
      <c r="F12" s="52"/>
      <c r="G12" s="52"/>
      <c r="H12" s="52"/>
      <c r="I12" s="92" t="s">
        <v>85</v>
      </c>
      <c r="J12" s="75" t="s">
        <v>79</v>
      </c>
      <c r="K12" s="168">
        <v>10</v>
      </c>
      <c r="L12" s="168"/>
      <c r="M12" s="52"/>
      <c r="N12" s="52"/>
      <c r="O12" s="52"/>
      <c r="P12" s="52" t="s">
        <v>3</v>
      </c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88"/>
    </row>
    <row r="13" spans="1:27" s="28" customFormat="1" ht="16.899999999999999" customHeight="1" x14ac:dyDescent="0.2">
      <c r="A13" s="89" t="s">
        <v>2</v>
      </c>
      <c r="B13" s="52"/>
      <c r="C13" s="52"/>
      <c r="D13" s="52"/>
      <c r="E13" s="52"/>
      <c r="F13" s="52"/>
      <c r="G13" s="52"/>
      <c r="H13" s="52"/>
      <c r="I13" s="52" t="s">
        <v>93</v>
      </c>
      <c r="J13" s="75" t="s">
        <v>79</v>
      </c>
      <c r="K13" s="168">
        <v>40</v>
      </c>
      <c r="L13" s="168"/>
      <c r="M13" s="52"/>
      <c r="N13" s="52"/>
      <c r="O13" s="52"/>
      <c r="P13" s="52" t="s">
        <v>81</v>
      </c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88"/>
    </row>
    <row r="14" spans="1:27" s="28" customFormat="1" ht="16.899999999999999" customHeight="1" x14ac:dyDescent="0.2">
      <c r="A14" s="89" t="s">
        <v>20</v>
      </c>
      <c r="B14" s="52"/>
      <c r="C14" s="52"/>
      <c r="D14" s="52"/>
      <c r="E14" s="52"/>
      <c r="F14" s="52"/>
      <c r="G14" s="52"/>
      <c r="H14" s="52"/>
      <c r="I14" s="52"/>
      <c r="J14" s="75"/>
      <c r="K14" s="168">
        <v>1000</v>
      </c>
      <c r="L14" s="168"/>
      <c r="M14" s="52"/>
      <c r="N14" s="52"/>
      <c r="O14" s="52"/>
      <c r="P14" s="52" t="s">
        <v>125</v>
      </c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88"/>
    </row>
    <row r="15" spans="1:27" s="69" customFormat="1" ht="16.899999999999999" customHeight="1" x14ac:dyDescent="0.2">
      <c r="A15" s="119"/>
      <c r="B15" s="103"/>
      <c r="C15" s="103"/>
      <c r="D15" s="103"/>
      <c r="E15" s="103"/>
      <c r="F15" s="103"/>
      <c r="G15" s="103"/>
      <c r="H15" s="103"/>
      <c r="I15" s="103"/>
      <c r="J15" s="74"/>
      <c r="K15" s="120"/>
      <c r="L15" s="120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21"/>
    </row>
    <row r="16" spans="1:27" s="28" customFormat="1" ht="13.9" customHeight="1" x14ac:dyDescent="0.2">
      <c r="A16" s="93" t="s">
        <v>120</v>
      </c>
      <c r="B16" s="52"/>
      <c r="C16" s="52"/>
      <c r="D16" s="52"/>
      <c r="E16" s="52"/>
      <c r="F16" s="52"/>
      <c r="G16" s="52"/>
      <c r="H16" s="52"/>
      <c r="I16" s="52"/>
      <c r="J16" s="75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88"/>
    </row>
    <row r="17" spans="1:27" s="28" customFormat="1" ht="13.9" customHeight="1" x14ac:dyDescent="0.2">
      <c r="A17" s="93"/>
      <c r="B17" s="52"/>
      <c r="C17" s="52"/>
      <c r="D17" s="52"/>
      <c r="E17" s="52"/>
      <c r="F17" s="52"/>
      <c r="G17" s="52"/>
      <c r="H17" s="52"/>
      <c r="I17" s="52"/>
      <c r="J17" s="75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88"/>
    </row>
    <row r="18" spans="1:27" s="28" customFormat="1" ht="13.9" customHeight="1" x14ac:dyDescent="0.2">
      <c r="A18" s="89" t="s">
        <v>130</v>
      </c>
      <c r="B18" s="52"/>
      <c r="C18" s="52"/>
      <c r="D18" s="52"/>
      <c r="E18" s="52"/>
      <c r="F18" s="52"/>
      <c r="G18" s="52"/>
      <c r="H18" s="52"/>
      <c r="I18" s="52"/>
      <c r="J18" s="75" t="s">
        <v>79</v>
      </c>
      <c r="K18" s="173">
        <f>(3.1428*(K7^2-K10^2)/4)*7.85*9.81/1000</f>
        <v>53.362265655961629</v>
      </c>
      <c r="L18" s="173"/>
      <c r="M18" s="52"/>
      <c r="N18" s="52"/>
      <c r="O18" s="52"/>
      <c r="P18" s="52" t="s">
        <v>25</v>
      </c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88"/>
    </row>
    <row r="19" spans="1:27" s="28" customFormat="1" ht="13.9" customHeight="1" x14ac:dyDescent="0.2">
      <c r="A19" s="93"/>
      <c r="B19" s="52"/>
      <c r="C19" s="52"/>
      <c r="D19" s="52"/>
      <c r="E19" s="52"/>
      <c r="F19" s="52"/>
      <c r="G19" s="52"/>
      <c r="H19" s="52"/>
      <c r="I19" s="52"/>
      <c r="J19" s="75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88"/>
    </row>
    <row r="20" spans="1:27" s="28" customFormat="1" ht="13.9" customHeight="1" x14ac:dyDescent="0.2">
      <c r="A20" s="89" t="s">
        <v>128</v>
      </c>
      <c r="B20" s="52"/>
      <c r="C20" s="52"/>
      <c r="D20" s="52"/>
      <c r="E20" s="52"/>
      <c r="F20" s="52"/>
      <c r="G20" s="52"/>
      <c r="H20" s="52"/>
      <c r="I20" s="52"/>
      <c r="J20" s="75" t="s">
        <v>79</v>
      </c>
      <c r="K20" s="173">
        <f>(3.1428*K10^2/4)*K14*9.81/1000000</f>
        <v>21.228211858636797</v>
      </c>
      <c r="L20" s="173"/>
      <c r="M20" s="52"/>
      <c r="N20" s="52"/>
      <c r="O20" s="52"/>
      <c r="P20" s="52" t="s">
        <v>25</v>
      </c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88"/>
    </row>
    <row r="21" spans="1:27" s="28" customFormat="1" ht="13.9" customHeight="1" x14ac:dyDescent="0.2">
      <c r="A21" s="93"/>
      <c r="B21" s="52"/>
      <c r="C21" s="52"/>
      <c r="D21" s="52"/>
      <c r="E21" s="52"/>
      <c r="F21" s="52"/>
      <c r="G21" s="52"/>
      <c r="H21" s="52"/>
      <c r="I21" s="52"/>
      <c r="J21" s="75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88"/>
    </row>
    <row r="22" spans="1:27" s="28" customFormat="1" ht="13.9" customHeight="1" x14ac:dyDescent="0.2">
      <c r="A22" s="89" t="s">
        <v>129</v>
      </c>
      <c r="B22" s="52"/>
      <c r="C22" s="52"/>
      <c r="D22" s="52"/>
      <c r="E22" s="52"/>
      <c r="F22" s="52"/>
      <c r="G22" s="52"/>
      <c r="H22" s="52"/>
      <c r="I22" s="52" t="s">
        <v>101</v>
      </c>
      <c r="J22" s="75" t="s">
        <v>79</v>
      </c>
      <c r="K22" s="173">
        <f>K18+K20</f>
        <v>74.590477514598433</v>
      </c>
      <c r="L22" s="173"/>
      <c r="M22" s="52"/>
      <c r="N22" s="52"/>
      <c r="O22" s="52"/>
      <c r="P22" s="52" t="s">
        <v>25</v>
      </c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88"/>
    </row>
    <row r="23" spans="1:27" s="28" customFormat="1" ht="13.9" customHeight="1" x14ac:dyDescent="0.2">
      <c r="A23" s="89"/>
      <c r="B23" s="52"/>
      <c r="C23" s="52"/>
      <c r="D23" s="52"/>
      <c r="E23" s="52"/>
      <c r="F23" s="52"/>
      <c r="G23" s="52"/>
      <c r="H23" s="52"/>
      <c r="I23" s="52"/>
      <c r="J23" s="75"/>
      <c r="K23" s="94"/>
      <c r="L23" s="94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88"/>
    </row>
    <row r="24" spans="1:27" s="28" customFormat="1" ht="13.9" customHeight="1" x14ac:dyDescent="0.2">
      <c r="A24" s="89"/>
      <c r="B24" s="52"/>
      <c r="C24" s="52"/>
      <c r="D24" s="52"/>
      <c r="E24" s="52"/>
      <c r="F24" s="52"/>
      <c r="G24" s="52"/>
      <c r="H24" s="52"/>
      <c r="I24" s="52"/>
      <c r="J24" s="75"/>
      <c r="K24" s="52" t="s">
        <v>83</v>
      </c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88"/>
    </row>
    <row r="25" spans="1:27" s="28" customFormat="1" ht="13.9" customHeight="1" x14ac:dyDescent="0.2">
      <c r="A25" s="89" t="s">
        <v>82</v>
      </c>
      <c r="B25" s="52"/>
      <c r="C25" s="52"/>
      <c r="D25" s="52"/>
      <c r="E25" s="52"/>
      <c r="F25" s="52"/>
      <c r="G25" s="52"/>
      <c r="H25" s="52"/>
      <c r="I25" s="52" t="s">
        <v>94</v>
      </c>
      <c r="J25" s="75" t="s">
        <v>79</v>
      </c>
      <c r="K25" s="51"/>
      <c r="L25" s="51">
        <v>64</v>
      </c>
      <c r="M25" s="51"/>
      <c r="N25" s="52"/>
      <c r="O25" s="52"/>
      <c r="P25" s="52" t="s">
        <v>95</v>
      </c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88"/>
    </row>
    <row r="26" spans="1:27" s="28" customFormat="1" ht="13.9" customHeight="1" x14ac:dyDescent="0.2">
      <c r="A26" s="89"/>
      <c r="B26" s="52"/>
      <c r="C26" s="52"/>
      <c r="D26" s="52"/>
      <c r="E26" s="52"/>
      <c r="F26" s="52"/>
      <c r="G26" s="52"/>
      <c r="H26" s="52"/>
      <c r="I26" s="52"/>
      <c r="J26" s="75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88"/>
    </row>
    <row r="27" spans="1:27" s="28" customFormat="1" ht="13.9" customHeight="1" x14ac:dyDescent="0.2">
      <c r="A27" s="89"/>
      <c r="B27" s="52"/>
      <c r="C27" s="52"/>
      <c r="D27" s="52"/>
      <c r="E27" s="52"/>
      <c r="F27" s="52"/>
      <c r="G27" s="52"/>
      <c r="H27" s="52"/>
      <c r="I27" s="52"/>
      <c r="J27" s="75" t="s">
        <v>79</v>
      </c>
      <c r="K27" s="52" t="s">
        <v>96</v>
      </c>
      <c r="L27" s="52"/>
      <c r="M27" s="170" t="str">
        <f>CONCATENATE("(",K7)</f>
        <v>(60.3</v>
      </c>
      <c r="N27" s="170"/>
      <c r="O27" s="95">
        <v>4</v>
      </c>
      <c r="P27" s="52" t="s">
        <v>6</v>
      </c>
      <c r="Q27" s="170" t="str">
        <f>CONCATENATE(K10,)</f>
        <v>52.48</v>
      </c>
      <c r="R27" s="170"/>
      <c r="S27" s="95" t="s">
        <v>141</v>
      </c>
      <c r="T27" s="52"/>
      <c r="U27" s="52"/>
      <c r="V27" s="52"/>
      <c r="W27" s="52"/>
      <c r="X27" s="52"/>
      <c r="Y27" s="52"/>
      <c r="Z27" s="52"/>
      <c r="AA27" s="88"/>
    </row>
    <row r="28" spans="1:27" s="28" customFormat="1" ht="13.9" customHeight="1" x14ac:dyDescent="0.2">
      <c r="A28" s="89"/>
      <c r="B28" s="52"/>
      <c r="C28" s="52"/>
      <c r="D28" s="52"/>
      <c r="E28" s="52"/>
      <c r="F28" s="52"/>
      <c r="G28" s="52"/>
      <c r="H28" s="52"/>
      <c r="I28" s="52"/>
      <c r="J28" s="75"/>
      <c r="K28" s="51"/>
      <c r="L28" s="51"/>
      <c r="M28" s="51"/>
      <c r="N28" s="51">
        <v>64</v>
      </c>
      <c r="O28" s="51"/>
      <c r="P28" s="51"/>
      <c r="Q28" s="51"/>
      <c r="R28" s="51"/>
      <c r="S28" s="51"/>
      <c r="T28" s="52"/>
      <c r="U28" s="52"/>
      <c r="V28" s="52"/>
      <c r="W28" s="52"/>
      <c r="X28" s="52"/>
      <c r="Y28" s="52"/>
      <c r="Z28" s="52"/>
      <c r="AA28" s="88"/>
    </row>
    <row r="29" spans="1:27" s="28" customFormat="1" ht="13.9" customHeight="1" x14ac:dyDescent="0.2">
      <c r="A29" s="89"/>
      <c r="B29" s="52"/>
      <c r="C29" s="52"/>
      <c r="D29" s="52"/>
      <c r="E29" s="52"/>
      <c r="F29" s="52"/>
      <c r="G29" s="52"/>
      <c r="H29" s="52"/>
      <c r="I29" s="52"/>
      <c r="J29" s="75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88"/>
    </row>
    <row r="30" spans="1:27" s="28" customFormat="1" ht="13.9" customHeight="1" x14ac:dyDescent="0.2">
      <c r="A30" s="89"/>
      <c r="B30" s="52"/>
      <c r="C30" s="52"/>
      <c r="D30" s="52"/>
      <c r="E30" s="52"/>
      <c r="F30" s="52"/>
      <c r="G30" s="52"/>
      <c r="H30" s="52"/>
      <c r="I30" s="52" t="s">
        <v>94</v>
      </c>
      <c r="J30" s="75" t="s">
        <v>79</v>
      </c>
      <c r="K30" s="171">
        <f>(3.143*(K7^4-K10^4))/64/10000</f>
        <v>27.677091333977401</v>
      </c>
      <c r="L30" s="171"/>
      <c r="M30" s="52"/>
      <c r="N30" s="52"/>
      <c r="O30" s="52"/>
      <c r="P30" s="52" t="s">
        <v>110</v>
      </c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88"/>
    </row>
    <row r="31" spans="1:27" s="28" customFormat="1" ht="13.9" customHeight="1" x14ac:dyDescent="0.2">
      <c r="A31" s="89"/>
      <c r="B31" s="52"/>
      <c r="C31" s="52"/>
      <c r="D31" s="52"/>
      <c r="E31" s="52"/>
      <c r="F31" s="52"/>
      <c r="G31" s="52"/>
      <c r="H31" s="52"/>
      <c r="I31" s="52"/>
      <c r="J31" s="75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88"/>
    </row>
    <row r="32" spans="1:27" s="28" customFormat="1" ht="13.9" customHeight="1" x14ac:dyDescent="0.2">
      <c r="A32" s="93" t="s">
        <v>120</v>
      </c>
      <c r="B32" s="52"/>
      <c r="C32" s="52"/>
      <c r="D32" s="52"/>
      <c r="E32" s="52"/>
      <c r="F32" s="52"/>
      <c r="G32" s="52"/>
      <c r="H32" s="52"/>
      <c r="I32" s="52"/>
      <c r="J32" s="75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88"/>
    </row>
    <row r="33" spans="1:27" s="28" customFormat="1" ht="13.9" customHeight="1" x14ac:dyDescent="0.2">
      <c r="A33" s="89"/>
      <c r="B33" s="52"/>
      <c r="C33" s="52"/>
      <c r="D33" s="52"/>
      <c r="E33" s="52"/>
      <c r="F33" s="52"/>
      <c r="G33" s="52"/>
      <c r="H33" s="52"/>
      <c r="I33" s="52"/>
      <c r="J33" s="75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88"/>
    </row>
    <row r="34" spans="1:27" s="28" customFormat="1" ht="13.9" customHeight="1" x14ac:dyDescent="0.2">
      <c r="A34" s="97" t="s">
        <v>97</v>
      </c>
      <c r="B34" s="52"/>
      <c r="C34" s="52"/>
      <c r="D34" s="52"/>
      <c r="E34" s="52"/>
      <c r="F34" s="52"/>
      <c r="G34" s="52"/>
      <c r="H34" s="52"/>
      <c r="I34" s="52"/>
      <c r="J34" s="75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88"/>
    </row>
    <row r="35" spans="1:27" s="28" customFormat="1" ht="13.9" customHeight="1" x14ac:dyDescent="0.2">
      <c r="A35" s="89"/>
      <c r="B35" s="52"/>
      <c r="C35" s="52"/>
      <c r="D35" s="52"/>
      <c r="E35" s="52"/>
      <c r="F35" s="52"/>
      <c r="G35" s="52"/>
      <c r="H35" s="52"/>
      <c r="I35" s="52"/>
      <c r="J35" s="75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88"/>
    </row>
    <row r="36" spans="1:27" s="28" customFormat="1" ht="13.9" customHeight="1" x14ac:dyDescent="0.2">
      <c r="A36" s="89"/>
      <c r="B36" s="52"/>
      <c r="C36" s="52"/>
      <c r="D36" s="52"/>
      <c r="E36" s="52"/>
      <c r="F36" s="52"/>
      <c r="G36" s="52"/>
      <c r="H36" s="52"/>
      <c r="I36" s="52"/>
      <c r="J36" s="75"/>
      <c r="K36" s="52" t="s">
        <v>85</v>
      </c>
      <c r="L36" s="175" t="s">
        <v>100</v>
      </c>
      <c r="M36" s="52" t="s">
        <v>102</v>
      </c>
      <c r="N36" s="52"/>
      <c r="O36" s="175" t="s">
        <v>103</v>
      </c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88"/>
    </row>
    <row r="37" spans="1:27" s="28" customFormat="1" ht="13.9" customHeight="1" x14ac:dyDescent="0.2">
      <c r="A37" s="89" t="s">
        <v>98</v>
      </c>
      <c r="B37" s="52"/>
      <c r="C37" s="52"/>
      <c r="D37" s="52"/>
      <c r="E37" s="52"/>
      <c r="F37" s="52"/>
      <c r="G37" s="52"/>
      <c r="H37" s="52"/>
      <c r="I37" s="52" t="s">
        <v>99</v>
      </c>
      <c r="J37" s="75" t="s">
        <v>79</v>
      </c>
      <c r="K37" s="51" t="s">
        <v>94</v>
      </c>
      <c r="L37" s="175"/>
      <c r="M37" s="176">
        <v>240</v>
      </c>
      <c r="N37" s="176"/>
      <c r="O37" s="175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88"/>
    </row>
    <row r="38" spans="1:27" s="28" customFormat="1" ht="13.9" customHeight="1" x14ac:dyDescent="0.2">
      <c r="A38" s="89"/>
      <c r="B38" s="52"/>
      <c r="C38" s="52"/>
      <c r="D38" s="52"/>
      <c r="E38" s="52"/>
      <c r="F38" s="52"/>
      <c r="G38" s="52"/>
      <c r="H38" s="52"/>
      <c r="I38" s="52"/>
      <c r="J38" s="75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88"/>
    </row>
    <row r="39" spans="1:27" s="28" customFormat="1" ht="13.9" customHeight="1" x14ac:dyDescent="0.2">
      <c r="A39" s="89"/>
      <c r="B39" s="52"/>
      <c r="C39" s="52"/>
      <c r="D39" s="52"/>
      <c r="E39" s="52"/>
      <c r="F39" s="52"/>
      <c r="G39" s="52"/>
      <c r="H39" s="52"/>
      <c r="I39" s="52"/>
      <c r="J39" s="98">
        <v>2</v>
      </c>
      <c r="K39" s="174" t="s">
        <v>109</v>
      </c>
      <c r="L39" s="58" t="s">
        <v>107</v>
      </c>
      <c r="M39" s="55"/>
      <c r="N39" s="56" t="s">
        <v>99</v>
      </c>
      <c r="O39" s="56" t="s">
        <v>108</v>
      </c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88"/>
    </row>
    <row r="40" spans="1:27" s="28" customFormat="1" ht="13.9" customHeight="1" x14ac:dyDescent="0.2">
      <c r="A40" s="89" t="s">
        <v>104</v>
      </c>
      <c r="B40" s="52"/>
      <c r="C40" s="52"/>
      <c r="D40" s="52"/>
      <c r="E40" s="52"/>
      <c r="F40" s="52"/>
      <c r="G40" s="52"/>
      <c r="H40" s="52"/>
      <c r="I40" s="52" t="s">
        <v>105</v>
      </c>
      <c r="J40" s="75" t="s">
        <v>79</v>
      </c>
      <c r="K40" s="174"/>
      <c r="L40" s="54" t="s">
        <v>85</v>
      </c>
      <c r="M40" s="53" t="s">
        <v>106</v>
      </c>
      <c r="N40" s="51" t="s">
        <v>101</v>
      </c>
      <c r="O40" s="51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88"/>
    </row>
    <row r="41" spans="1:27" s="28" customFormat="1" ht="13.9" customHeight="1" x14ac:dyDescent="0.2">
      <c r="A41" s="89"/>
      <c r="B41" s="52"/>
      <c r="C41" s="52"/>
      <c r="D41" s="52"/>
      <c r="E41" s="52"/>
      <c r="F41" s="52"/>
      <c r="G41" s="52"/>
      <c r="H41" s="52"/>
      <c r="I41" s="52"/>
      <c r="J41" s="75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88"/>
    </row>
    <row r="42" spans="1:27" s="28" customFormat="1" ht="13.9" customHeight="1" x14ac:dyDescent="0.2">
      <c r="A42" s="89"/>
      <c r="B42" s="52"/>
      <c r="C42" s="52"/>
      <c r="D42" s="52"/>
      <c r="E42" s="52"/>
      <c r="F42" s="52"/>
      <c r="G42" s="52"/>
      <c r="H42" s="52"/>
      <c r="I42" s="52"/>
      <c r="J42" s="75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88"/>
    </row>
    <row r="43" spans="1:27" s="28" customFormat="1" ht="13.9" customHeight="1" x14ac:dyDescent="0.2">
      <c r="A43" s="89"/>
      <c r="B43" s="52"/>
      <c r="C43" s="52"/>
      <c r="D43" s="52"/>
      <c r="E43" s="52"/>
      <c r="F43" s="52"/>
      <c r="G43" s="52"/>
      <c r="H43" s="52"/>
      <c r="I43" s="52"/>
      <c r="J43" s="98">
        <v>2</v>
      </c>
      <c r="K43" s="174" t="s">
        <v>109</v>
      </c>
      <c r="L43" s="58" t="s">
        <v>107</v>
      </c>
      <c r="M43" s="55"/>
      <c r="N43" s="56">
        <f>K13</f>
        <v>40</v>
      </c>
      <c r="O43" s="51" t="s">
        <v>106</v>
      </c>
      <c r="P43" s="176">
        <f>K30</f>
        <v>27.677091333977401</v>
      </c>
      <c r="Q43" s="176"/>
      <c r="R43" s="52"/>
      <c r="S43" s="52"/>
      <c r="T43" s="52"/>
      <c r="U43" s="52"/>
      <c r="V43" s="52"/>
      <c r="W43" s="52"/>
      <c r="X43" s="52"/>
      <c r="Y43" s="52"/>
      <c r="Z43" s="52"/>
      <c r="AA43" s="88"/>
    </row>
    <row r="44" spans="1:27" s="28" customFormat="1" ht="13.9" customHeight="1" x14ac:dyDescent="0.2">
      <c r="A44" s="89"/>
      <c r="B44" s="52"/>
      <c r="C44" s="52"/>
      <c r="D44" s="52"/>
      <c r="E44" s="52"/>
      <c r="F44" s="52"/>
      <c r="G44" s="52"/>
      <c r="H44" s="52"/>
      <c r="I44" s="52"/>
      <c r="J44" s="75" t="s">
        <v>79</v>
      </c>
      <c r="K44" s="174"/>
      <c r="L44" s="180">
        <f>K7</f>
        <v>60.3</v>
      </c>
      <c r="M44" s="180"/>
      <c r="N44" s="53" t="s">
        <v>106</v>
      </c>
      <c r="O44" s="181">
        <f>K22</f>
        <v>74.590477514598433</v>
      </c>
      <c r="P44" s="181"/>
      <c r="Q44" s="51"/>
      <c r="R44" s="52"/>
      <c r="S44" s="52"/>
      <c r="T44" s="52"/>
      <c r="U44" s="52"/>
      <c r="V44" s="52"/>
      <c r="W44" s="52"/>
      <c r="X44" s="52"/>
      <c r="Y44" s="52"/>
      <c r="Z44" s="52"/>
      <c r="AA44" s="88"/>
    </row>
    <row r="45" spans="1:27" s="28" customFormat="1" ht="13.9" customHeight="1" thickBot="1" x14ac:dyDescent="0.25">
      <c r="A45" s="89"/>
      <c r="B45" s="52"/>
      <c r="C45" s="52"/>
      <c r="D45" s="52"/>
      <c r="E45" s="52"/>
      <c r="F45" s="52"/>
      <c r="G45" s="52"/>
      <c r="H45" s="52"/>
      <c r="I45" s="52"/>
      <c r="J45" s="75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88"/>
    </row>
    <row r="46" spans="1:27" s="28" customFormat="1" ht="13.9" customHeight="1" thickTop="1" thickBot="1" x14ac:dyDescent="0.25">
      <c r="A46" s="89" t="s">
        <v>104</v>
      </c>
      <c r="B46" s="52"/>
      <c r="C46" s="52"/>
      <c r="D46" s="52"/>
      <c r="E46" s="52"/>
      <c r="F46" s="52"/>
      <c r="G46" s="52"/>
      <c r="H46" s="52"/>
      <c r="I46" s="64" t="s">
        <v>105</v>
      </c>
      <c r="J46" s="65" t="s">
        <v>79</v>
      </c>
      <c r="K46" s="182">
        <f>SQRT((240*K13*K30)/(K7*K22))</f>
        <v>7.685913459953948</v>
      </c>
      <c r="L46" s="182"/>
      <c r="M46" s="66" t="s">
        <v>111</v>
      </c>
      <c r="N46" s="52"/>
      <c r="O46" s="90" t="s">
        <v>112</v>
      </c>
      <c r="P46" s="52"/>
      <c r="Q46" s="52"/>
      <c r="R46" s="52"/>
      <c r="S46" s="67">
        <v>1</v>
      </c>
      <c r="T46" s="52"/>
      <c r="U46" s="52"/>
      <c r="V46" s="52"/>
      <c r="W46" s="52"/>
      <c r="X46" s="52"/>
      <c r="Y46" s="52"/>
      <c r="Z46" s="52"/>
      <c r="AA46" s="88"/>
    </row>
    <row r="47" spans="1:27" s="28" customFormat="1" ht="13.9" customHeight="1" thickTop="1" x14ac:dyDescent="0.2">
      <c r="A47" s="89"/>
      <c r="B47" s="52"/>
      <c r="C47" s="52"/>
      <c r="D47" s="52"/>
      <c r="E47" s="52"/>
      <c r="F47" s="52"/>
      <c r="G47" s="52"/>
      <c r="H47" s="52"/>
      <c r="I47" s="52"/>
      <c r="J47" s="75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88"/>
    </row>
    <row r="48" spans="1:27" s="28" customFormat="1" ht="13.9" customHeight="1" x14ac:dyDescent="0.2">
      <c r="A48" s="93" t="s">
        <v>120</v>
      </c>
      <c r="B48" s="52"/>
      <c r="C48" s="52"/>
      <c r="D48" s="52"/>
      <c r="E48" s="52"/>
      <c r="F48" s="52"/>
      <c r="G48" s="52"/>
      <c r="H48" s="52"/>
      <c r="I48" s="52"/>
      <c r="J48" s="75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88"/>
    </row>
    <row r="49" spans="1:27" s="28" customFormat="1" ht="13.9" customHeight="1" x14ac:dyDescent="0.2">
      <c r="A49" s="93"/>
      <c r="B49" s="52"/>
      <c r="C49" s="52"/>
      <c r="D49" s="52"/>
      <c r="E49" s="52"/>
      <c r="F49" s="52"/>
      <c r="G49" s="52"/>
      <c r="H49" s="52"/>
      <c r="I49" s="52"/>
      <c r="J49" s="75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88"/>
    </row>
    <row r="50" spans="1:27" s="28" customFormat="1" ht="13.9" customHeight="1" x14ac:dyDescent="0.2">
      <c r="A50" s="93"/>
      <c r="B50" s="52"/>
      <c r="C50" s="52"/>
      <c r="D50" s="52"/>
      <c r="E50" s="52"/>
      <c r="F50" s="52"/>
      <c r="G50" s="52"/>
      <c r="H50" s="52"/>
      <c r="I50" s="52"/>
      <c r="J50" s="75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88"/>
    </row>
    <row r="51" spans="1:27" s="28" customFormat="1" ht="13.9" customHeight="1" x14ac:dyDescent="0.2">
      <c r="A51" s="89" t="s">
        <v>113</v>
      </c>
      <c r="B51" s="52"/>
      <c r="C51" s="52"/>
      <c r="D51" s="52"/>
      <c r="E51" s="52"/>
      <c r="F51" s="52"/>
      <c r="G51" s="52"/>
      <c r="H51" s="52"/>
      <c r="I51" s="100" t="s">
        <v>114</v>
      </c>
      <c r="J51" s="75" t="s">
        <v>79</v>
      </c>
      <c r="K51" s="52">
        <v>10</v>
      </c>
      <c r="L51" s="101">
        <v>5</v>
      </c>
      <c r="M51" s="175" t="s">
        <v>100</v>
      </c>
      <c r="N51" s="52" t="s">
        <v>116</v>
      </c>
      <c r="O51" s="52"/>
      <c r="P51" s="175" t="s">
        <v>103</v>
      </c>
      <c r="Q51" s="102"/>
      <c r="R51" s="52"/>
      <c r="S51" s="52"/>
      <c r="T51" s="52"/>
      <c r="U51" s="52"/>
      <c r="V51" s="52"/>
      <c r="W51" s="52"/>
      <c r="X51" s="52"/>
      <c r="Y51" s="52"/>
      <c r="Z51" s="52"/>
      <c r="AA51" s="88"/>
    </row>
    <row r="52" spans="1:27" s="28" customFormat="1" ht="13.9" customHeight="1" x14ac:dyDescent="0.2">
      <c r="A52" s="89"/>
      <c r="B52" s="52"/>
      <c r="C52" s="52"/>
      <c r="D52" s="52"/>
      <c r="E52" s="52"/>
      <c r="F52" s="52"/>
      <c r="G52" s="52"/>
      <c r="H52" s="52"/>
      <c r="I52" s="52"/>
      <c r="J52" s="75"/>
      <c r="K52" s="183" t="s">
        <v>115</v>
      </c>
      <c r="L52" s="183"/>
      <c r="M52" s="175"/>
      <c r="N52" s="176">
        <v>384</v>
      </c>
      <c r="O52" s="176"/>
      <c r="P52" s="175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88"/>
    </row>
    <row r="53" spans="1:27" s="28" customFormat="1" ht="13.9" customHeight="1" x14ac:dyDescent="0.2">
      <c r="A53" s="89"/>
      <c r="B53" s="52"/>
      <c r="C53" s="52"/>
      <c r="D53" s="52"/>
      <c r="E53" s="52"/>
      <c r="F53" s="52"/>
      <c r="G53" s="52"/>
      <c r="H53" s="52"/>
      <c r="I53" s="52"/>
      <c r="J53" s="75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88"/>
    </row>
    <row r="54" spans="1:27" s="28" customFormat="1" ht="13.9" customHeight="1" x14ac:dyDescent="0.2">
      <c r="A54" s="89"/>
      <c r="B54" s="52"/>
      <c r="C54" s="52"/>
      <c r="D54" s="52"/>
      <c r="E54" s="52"/>
      <c r="F54" s="52"/>
      <c r="G54" s="52"/>
      <c r="H54" s="52"/>
      <c r="I54" s="52"/>
      <c r="J54" s="98">
        <v>4</v>
      </c>
      <c r="K54" s="174" t="s">
        <v>109</v>
      </c>
      <c r="L54" s="56" t="s">
        <v>117</v>
      </c>
      <c r="M54" s="56"/>
      <c r="N54" s="63" t="s">
        <v>114</v>
      </c>
      <c r="O54" s="55" t="s">
        <v>106</v>
      </c>
      <c r="P54" s="58" t="s">
        <v>115</v>
      </c>
      <c r="Q54" s="56"/>
      <c r="R54" s="52"/>
      <c r="S54" s="52"/>
      <c r="T54" s="52"/>
      <c r="U54" s="52"/>
      <c r="V54" s="52"/>
      <c r="W54" s="52"/>
      <c r="X54" s="52"/>
      <c r="Y54" s="52"/>
      <c r="Z54" s="52"/>
      <c r="AA54" s="88"/>
    </row>
    <row r="55" spans="1:27" s="28" customFormat="1" ht="13.9" customHeight="1" x14ac:dyDescent="0.2">
      <c r="A55" s="89" t="s">
        <v>104</v>
      </c>
      <c r="B55" s="52"/>
      <c r="C55" s="52"/>
      <c r="D55" s="52"/>
      <c r="E55" s="52"/>
      <c r="F55" s="52"/>
      <c r="G55" s="52"/>
      <c r="H55" s="52"/>
      <c r="I55" s="52" t="s">
        <v>105</v>
      </c>
      <c r="J55" s="75" t="s">
        <v>79</v>
      </c>
      <c r="K55" s="174"/>
      <c r="L55" s="51"/>
      <c r="M55" s="51" t="s">
        <v>101</v>
      </c>
      <c r="N55" s="51" t="s">
        <v>106</v>
      </c>
      <c r="O55" s="51">
        <v>10</v>
      </c>
      <c r="P55" s="62">
        <v>5</v>
      </c>
      <c r="Q55" s="51"/>
      <c r="R55" s="52"/>
      <c r="S55" s="52"/>
      <c r="T55" s="52"/>
      <c r="U55" s="52"/>
      <c r="V55" s="52"/>
      <c r="W55" s="52"/>
      <c r="X55" s="52"/>
      <c r="Y55" s="52"/>
      <c r="Z55" s="52"/>
      <c r="AA55" s="88"/>
    </row>
    <row r="56" spans="1:27" s="28" customFormat="1" ht="13.9" customHeight="1" x14ac:dyDescent="0.2">
      <c r="A56" s="89"/>
      <c r="B56" s="52"/>
      <c r="C56" s="52"/>
      <c r="D56" s="52"/>
      <c r="E56" s="52"/>
      <c r="F56" s="52"/>
      <c r="G56" s="52"/>
      <c r="H56" s="52"/>
      <c r="I56" s="52"/>
      <c r="J56" s="75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88"/>
    </row>
    <row r="57" spans="1:27" s="28" customFormat="1" ht="13.9" customHeight="1" x14ac:dyDescent="0.2">
      <c r="A57" s="89"/>
      <c r="B57" s="52"/>
      <c r="C57" s="52"/>
      <c r="D57" s="52"/>
      <c r="E57" s="52"/>
      <c r="F57" s="52"/>
      <c r="G57" s="52"/>
      <c r="H57" s="52"/>
      <c r="I57" s="52"/>
      <c r="J57" s="98">
        <v>4</v>
      </c>
      <c r="K57" s="174" t="s">
        <v>109</v>
      </c>
      <c r="L57" s="56" t="s">
        <v>117</v>
      </c>
      <c r="M57" s="56"/>
      <c r="N57" s="63">
        <f>K12</f>
        <v>10</v>
      </c>
      <c r="O57" s="55" t="s">
        <v>106</v>
      </c>
      <c r="P57" s="185">
        <f>K11</f>
        <v>210000</v>
      </c>
      <c r="Q57" s="185"/>
      <c r="R57" s="55" t="s">
        <v>106</v>
      </c>
      <c r="S57" s="176">
        <f>K30</f>
        <v>27.677091333977401</v>
      </c>
      <c r="T57" s="176"/>
      <c r="U57" s="52"/>
      <c r="V57" s="52"/>
      <c r="W57" s="52"/>
      <c r="X57" s="52"/>
      <c r="Y57" s="52"/>
      <c r="Z57" s="52"/>
      <c r="AA57" s="88"/>
    </row>
    <row r="58" spans="1:27" s="28" customFormat="1" ht="13.9" customHeight="1" x14ac:dyDescent="0.2">
      <c r="A58" s="89"/>
      <c r="B58" s="52"/>
      <c r="C58" s="52"/>
      <c r="D58" s="52"/>
      <c r="E58" s="52"/>
      <c r="F58" s="52"/>
      <c r="G58" s="52"/>
      <c r="H58" s="52"/>
      <c r="I58" s="52"/>
      <c r="J58" s="75" t="s">
        <v>79</v>
      </c>
      <c r="K58" s="174"/>
      <c r="L58" s="181">
        <f>K22</f>
        <v>74.590477514598433</v>
      </c>
      <c r="M58" s="181"/>
      <c r="N58" s="53" t="s">
        <v>106</v>
      </c>
      <c r="O58" s="51">
        <v>10</v>
      </c>
      <c r="P58" s="62">
        <v>5</v>
      </c>
      <c r="Q58" s="51"/>
      <c r="R58" s="51"/>
      <c r="S58" s="51"/>
      <c r="T58" s="51"/>
      <c r="U58" s="52"/>
      <c r="V58" s="52"/>
      <c r="W58" s="52"/>
      <c r="X58" s="52"/>
      <c r="Y58" s="52"/>
      <c r="Z58" s="52"/>
      <c r="AA58" s="88"/>
    </row>
    <row r="59" spans="1:27" s="28" customFormat="1" ht="13.9" customHeight="1" thickBot="1" x14ac:dyDescent="0.25">
      <c r="A59" s="89"/>
      <c r="B59" s="52"/>
      <c r="C59" s="52"/>
      <c r="D59" s="52"/>
      <c r="E59" s="52"/>
      <c r="F59" s="52"/>
      <c r="G59" s="52"/>
      <c r="H59" s="52"/>
      <c r="I59" s="52"/>
      <c r="J59" s="75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88"/>
    </row>
    <row r="60" spans="1:27" s="28" customFormat="1" ht="13.9" customHeight="1" thickTop="1" thickBot="1" x14ac:dyDescent="0.25">
      <c r="A60" s="89"/>
      <c r="B60" s="52"/>
      <c r="C60" s="52"/>
      <c r="D60" s="52"/>
      <c r="E60" s="52"/>
      <c r="F60" s="52"/>
      <c r="G60" s="52"/>
      <c r="H60" s="52"/>
      <c r="I60" s="64" t="s">
        <v>105</v>
      </c>
      <c r="J60" s="65" t="s">
        <v>79</v>
      </c>
      <c r="K60" s="182">
        <f>((384*K12*K11*K30)/(K22*10^5))^(1/4)</f>
        <v>7.3959998664465898</v>
      </c>
      <c r="L60" s="182"/>
      <c r="M60" s="66" t="s">
        <v>111</v>
      </c>
      <c r="N60" s="52"/>
      <c r="O60" s="90" t="s">
        <v>112</v>
      </c>
      <c r="P60" s="52"/>
      <c r="Q60" s="52"/>
      <c r="R60" s="52"/>
      <c r="S60" s="67">
        <v>2</v>
      </c>
      <c r="T60" s="52"/>
      <c r="U60" s="52"/>
      <c r="V60" s="52"/>
      <c r="W60" s="52"/>
      <c r="X60" s="52"/>
      <c r="Y60" s="52"/>
      <c r="Z60" s="52"/>
      <c r="AA60" s="88"/>
    </row>
    <row r="61" spans="1:27" s="28" customFormat="1" ht="13.9" customHeight="1" thickTop="1" x14ac:dyDescent="0.2">
      <c r="A61" s="89"/>
      <c r="B61" s="52"/>
      <c r="C61" s="52"/>
      <c r="D61" s="52"/>
      <c r="E61" s="52"/>
      <c r="F61" s="52"/>
      <c r="G61" s="52"/>
      <c r="H61" s="103"/>
      <c r="I61" s="70"/>
      <c r="J61" s="71"/>
      <c r="K61" s="72"/>
      <c r="L61" s="72"/>
      <c r="M61" s="73"/>
      <c r="N61" s="103"/>
      <c r="O61" s="104"/>
      <c r="P61" s="103"/>
      <c r="Q61" s="103"/>
      <c r="R61" s="103"/>
      <c r="S61" s="74"/>
      <c r="T61" s="103"/>
      <c r="U61" s="103"/>
      <c r="V61" s="103"/>
      <c r="W61" s="103"/>
      <c r="X61" s="52"/>
      <c r="Y61" s="52"/>
      <c r="Z61" s="52"/>
      <c r="AA61" s="88"/>
    </row>
    <row r="62" spans="1:27" s="28" customFormat="1" ht="13.9" customHeight="1" thickBot="1" x14ac:dyDescent="0.25">
      <c r="A62" s="89"/>
      <c r="B62" s="52"/>
      <c r="C62" s="52"/>
      <c r="D62" s="52"/>
      <c r="E62" s="52"/>
      <c r="F62" s="52"/>
      <c r="G62" s="52"/>
      <c r="H62" s="52"/>
      <c r="I62" s="52"/>
      <c r="J62" s="75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88"/>
    </row>
    <row r="63" spans="1:27" s="28" customFormat="1" ht="13.9" customHeight="1" thickTop="1" thickBot="1" x14ac:dyDescent="0.25">
      <c r="A63" s="89" t="s">
        <v>104</v>
      </c>
      <c r="B63" s="52"/>
      <c r="C63" s="52"/>
      <c r="D63" s="52"/>
      <c r="E63" s="52"/>
      <c r="F63" s="52"/>
      <c r="G63" s="52"/>
      <c r="H63" s="52"/>
      <c r="I63" s="52" t="s">
        <v>105</v>
      </c>
      <c r="J63" s="75" t="s">
        <v>79</v>
      </c>
      <c r="K63" s="52" t="s">
        <v>118</v>
      </c>
      <c r="L63" s="52"/>
      <c r="M63" s="67">
        <v>1</v>
      </c>
      <c r="N63" s="177" t="s">
        <v>119</v>
      </c>
      <c r="O63" s="178"/>
      <c r="P63" s="67">
        <v>2</v>
      </c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88"/>
    </row>
    <row r="64" spans="1:27" s="28" customFormat="1" ht="13.9" customHeight="1" thickTop="1" thickBot="1" x14ac:dyDescent="0.25">
      <c r="A64" s="89"/>
      <c r="B64" s="52"/>
      <c r="C64" s="52"/>
      <c r="D64" s="52"/>
      <c r="E64" s="52"/>
      <c r="F64" s="52"/>
      <c r="G64" s="52"/>
      <c r="H64" s="52"/>
      <c r="I64" s="52"/>
      <c r="J64" s="75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88"/>
    </row>
    <row r="65" spans="1:27" s="28" customFormat="1" ht="13.9" customHeight="1" thickTop="1" thickBot="1" x14ac:dyDescent="0.25">
      <c r="A65" s="89"/>
      <c r="B65" s="52"/>
      <c r="C65" s="52"/>
      <c r="D65" s="52"/>
      <c r="E65" s="52"/>
      <c r="F65" s="52"/>
      <c r="G65" s="52"/>
      <c r="H65" s="52"/>
      <c r="I65" s="59" t="s">
        <v>105</v>
      </c>
      <c r="J65" s="60" t="s">
        <v>79</v>
      </c>
      <c r="K65" s="179">
        <f>MIN(K60,K46)</f>
        <v>7.3959998664465898</v>
      </c>
      <c r="L65" s="179"/>
      <c r="M65" s="61" t="s">
        <v>111</v>
      </c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88"/>
    </row>
    <row r="66" spans="1:27" s="28" customFormat="1" ht="13.9" customHeight="1" thickTop="1" x14ac:dyDescent="0.2">
      <c r="A66" s="89"/>
      <c r="B66" s="52"/>
      <c r="C66" s="52"/>
      <c r="D66" s="52"/>
      <c r="E66" s="52"/>
      <c r="F66" s="52"/>
      <c r="G66" s="52"/>
      <c r="H66" s="52"/>
      <c r="I66" s="52"/>
      <c r="J66" s="75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88"/>
    </row>
    <row r="67" spans="1:27" s="28" customFormat="1" ht="13.9" customHeight="1" x14ac:dyDescent="0.2">
      <c r="A67" s="105" t="s">
        <v>134</v>
      </c>
      <c r="B67" s="52"/>
      <c r="C67" s="52"/>
      <c r="D67" s="52"/>
      <c r="E67" s="52"/>
      <c r="F67" s="52"/>
      <c r="G67" s="52"/>
      <c r="H67" s="52"/>
      <c r="I67" s="52"/>
      <c r="J67" s="75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88"/>
    </row>
    <row r="68" spans="1:27" s="28" customFormat="1" ht="13.9" customHeight="1" x14ac:dyDescent="0.2">
      <c r="A68" s="89"/>
      <c r="B68" s="52"/>
      <c r="C68" s="52"/>
      <c r="D68" s="52"/>
      <c r="E68" s="52"/>
      <c r="F68" s="52"/>
      <c r="G68" s="52"/>
      <c r="H68" s="52"/>
      <c r="I68" s="52"/>
      <c r="J68" s="75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88"/>
    </row>
    <row r="69" spans="1:27" s="28" customFormat="1" ht="13.9" customHeight="1" x14ac:dyDescent="0.2">
      <c r="A69" s="89"/>
      <c r="B69" s="52"/>
      <c r="C69" s="52"/>
      <c r="D69" s="52"/>
      <c r="E69" s="52"/>
      <c r="F69" s="52"/>
      <c r="G69" s="52"/>
      <c r="H69" s="52"/>
      <c r="I69" s="52"/>
      <c r="J69" s="75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88"/>
    </row>
    <row r="70" spans="1:27" s="28" customFormat="1" ht="13.9" customHeight="1" x14ac:dyDescent="0.2">
      <c r="A70" s="89"/>
      <c r="B70" s="52"/>
      <c r="C70" s="52"/>
      <c r="D70" s="52"/>
      <c r="E70" s="52"/>
      <c r="F70" s="52"/>
      <c r="G70" s="52"/>
      <c r="H70" s="52"/>
      <c r="I70" s="52"/>
      <c r="J70" s="75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88"/>
    </row>
    <row r="71" spans="1:27" s="28" customFormat="1" ht="13.9" customHeight="1" x14ac:dyDescent="0.2">
      <c r="A71" s="89"/>
      <c r="B71" s="52"/>
      <c r="C71" s="52"/>
      <c r="D71" s="52"/>
      <c r="E71" s="52"/>
      <c r="F71" s="52"/>
      <c r="G71" s="52"/>
      <c r="H71" s="52"/>
      <c r="I71" s="52"/>
      <c r="J71" s="75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88"/>
    </row>
    <row r="72" spans="1:27" s="28" customFormat="1" ht="13.9" customHeight="1" x14ac:dyDescent="0.2">
      <c r="A72" s="89"/>
      <c r="B72" s="52"/>
      <c r="C72" s="52"/>
      <c r="D72" s="52"/>
      <c r="E72" s="52"/>
      <c r="F72" s="52"/>
      <c r="G72" s="52"/>
      <c r="H72" s="52"/>
      <c r="I72" s="52"/>
      <c r="J72" s="75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88"/>
    </row>
    <row r="73" spans="1:27" s="28" customFormat="1" ht="13.9" customHeight="1" x14ac:dyDescent="0.2">
      <c r="A73" s="89"/>
      <c r="B73" s="52"/>
      <c r="C73" s="52"/>
      <c r="D73" s="52"/>
      <c r="E73" s="52"/>
      <c r="F73" s="52"/>
      <c r="G73" s="52"/>
      <c r="H73" s="52"/>
      <c r="I73" s="52"/>
      <c r="J73" s="75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88"/>
    </row>
    <row r="74" spans="1:27" s="28" customFormat="1" ht="13.9" customHeight="1" x14ac:dyDescent="0.2">
      <c r="A74" s="89"/>
      <c r="B74" s="52"/>
      <c r="C74" s="52"/>
      <c r="D74" s="52"/>
      <c r="E74" s="52"/>
      <c r="F74" s="52"/>
      <c r="G74" s="52"/>
      <c r="H74" s="52"/>
      <c r="I74" s="52"/>
      <c r="J74" s="75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88"/>
    </row>
    <row r="75" spans="1:27" s="28" customFormat="1" ht="13.9" customHeight="1" x14ac:dyDescent="0.2">
      <c r="A75" s="89"/>
      <c r="B75" s="52"/>
      <c r="C75" s="52"/>
      <c r="D75" s="52"/>
      <c r="E75" s="52"/>
      <c r="F75" s="52"/>
      <c r="G75" s="52"/>
      <c r="H75" s="52"/>
      <c r="I75" s="52"/>
      <c r="J75" s="75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88"/>
    </row>
    <row r="76" spans="1:27" s="28" customFormat="1" ht="13.9" customHeight="1" x14ac:dyDescent="0.2">
      <c r="A76" s="89"/>
      <c r="B76" s="52"/>
      <c r="C76" s="52"/>
      <c r="D76" s="52"/>
      <c r="E76" s="52"/>
      <c r="F76" s="52"/>
      <c r="G76" s="52"/>
      <c r="H76" s="52"/>
      <c r="I76" s="52"/>
      <c r="J76" s="75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88"/>
    </row>
    <row r="77" spans="1:27" s="28" customFormat="1" ht="13.9" customHeight="1" x14ac:dyDescent="0.2">
      <c r="A77" s="89"/>
      <c r="B77" s="52"/>
      <c r="C77" s="52"/>
      <c r="D77" s="52"/>
      <c r="E77" s="52"/>
      <c r="F77" s="52"/>
      <c r="G77" s="52"/>
      <c r="H77" s="52"/>
      <c r="I77" s="52"/>
      <c r="J77" s="75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88"/>
    </row>
    <row r="78" spans="1:27" s="28" customFormat="1" ht="13.9" customHeight="1" x14ac:dyDescent="0.2">
      <c r="A78" s="89"/>
      <c r="B78" s="52"/>
      <c r="C78" s="52"/>
      <c r="D78" s="52"/>
      <c r="E78" s="52"/>
      <c r="F78" s="52"/>
      <c r="G78" s="52"/>
      <c r="H78" s="52"/>
      <c r="I78" s="52"/>
      <c r="J78" s="75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88"/>
    </row>
    <row r="79" spans="1:27" s="28" customFormat="1" ht="13.9" customHeight="1" x14ac:dyDescent="0.2">
      <c r="A79" s="89"/>
      <c r="B79" s="52"/>
      <c r="C79" s="52"/>
      <c r="D79" s="52"/>
      <c r="E79" s="52"/>
      <c r="F79" s="52"/>
      <c r="G79" s="52"/>
      <c r="H79" s="52"/>
      <c r="I79" s="52"/>
      <c r="J79" s="75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88"/>
    </row>
    <row r="80" spans="1:27" s="68" customFormat="1" ht="25.15" customHeight="1" x14ac:dyDescent="0.2">
      <c r="A80" s="105" t="s">
        <v>121</v>
      </c>
      <c r="B80" s="106"/>
      <c r="C80" s="106"/>
      <c r="D80" s="106"/>
      <c r="E80" s="106"/>
      <c r="F80" s="106"/>
      <c r="G80" s="106"/>
      <c r="H80" s="106"/>
      <c r="I80" s="106"/>
      <c r="J80" s="107"/>
      <c r="K80" s="106"/>
      <c r="L80" s="106"/>
      <c r="M80" s="108"/>
      <c r="N80" s="106" t="s">
        <v>79</v>
      </c>
      <c r="O80" s="109">
        <v>7.1</v>
      </c>
      <c r="P80" s="110" t="s">
        <v>135</v>
      </c>
      <c r="Q80" s="111">
        <f>K65</f>
        <v>7.3959998664465898</v>
      </c>
      <c r="R80" s="108"/>
      <c r="S80" s="106" t="s">
        <v>122</v>
      </c>
      <c r="T80" s="106"/>
      <c r="U80" s="108"/>
      <c r="V80" s="108"/>
      <c r="W80" s="108"/>
      <c r="X80" s="108"/>
      <c r="Y80" s="108"/>
      <c r="Z80" s="108"/>
      <c r="AA80" s="112"/>
    </row>
    <row r="81" spans="1:27" s="28" customFormat="1" ht="13.9" customHeight="1" x14ac:dyDescent="0.2">
      <c r="A81" s="89"/>
      <c r="B81" s="52"/>
      <c r="C81" s="52"/>
      <c r="D81" s="52"/>
      <c r="E81" s="52"/>
      <c r="F81" s="52"/>
      <c r="G81" s="52"/>
      <c r="H81" s="52"/>
      <c r="I81" s="52"/>
      <c r="J81" s="75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88"/>
    </row>
    <row r="82" spans="1:27" s="28" customFormat="1" ht="13.9" customHeight="1" x14ac:dyDescent="0.2">
      <c r="A82" s="89"/>
      <c r="B82" s="52"/>
      <c r="C82" s="52"/>
      <c r="D82" s="52"/>
      <c r="E82" s="52"/>
      <c r="F82" s="52"/>
      <c r="G82" s="52"/>
      <c r="H82" s="52"/>
      <c r="I82" s="52"/>
      <c r="J82" s="75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88"/>
    </row>
    <row r="83" spans="1:27" s="28" customFormat="1" ht="13.9" customHeight="1" x14ac:dyDescent="0.2">
      <c r="A83" s="89"/>
      <c r="B83" s="52"/>
      <c r="C83" s="52"/>
      <c r="D83" s="52"/>
      <c r="E83" s="52"/>
      <c r="F83" s="52"/>
      <c r="G83" s="52"/>
      <c r="H83" s="52"/>
      <c r="I83" s="52"/>
      <c r="J83" s="75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88"/>
    </row>
    <row r="84" spans="1:27" s="28" customFormat="1" ht="13.9" customHeight="1" x14ac:dyDescent="0.2">
      <c r="A84" s="89"/>
      <c r="B84" s="52"/>
      <c r="C84" s="52"/>
      <c r="D84" s="52"/>
      <c r="E84" s="52"/>
      <c r="F84" s="52"/>
      <c r="G84" s="52"/>
      <c r="H84" s="52"/>
      <c r="I84" s="52"/>
      <c r="J84" s="75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88"/>
    </row>
    <row r="85" spans="1:27" s="28" customFormat="1" ht="13.9" customHeight="1" x14ac:dyDescent="0.2">
      <c r="A85" s="89"/>
      <c r="B85" s="52"/>
      <c r="C85" s="52"/>
      <c r="D85" s="52"/>
      <c r="E85" s="52"/>
      <c r="F85" s="52"/>
      <c r="G85" s="52"/>
      <c r="H85" s="52"/>
      <c r="I85" s="52"/>
      <c r="J85" s="75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88"/>
    </row>
    <row r="86" spans="1:27" s="28" customFormat="1" ht="13.9" customHeight="1" x14ac:dyDescent="0.2">
      <c r="A86" s="89"/>
      <c r="B86" s="52"/>
      <c r="C86" s="52"/>
      <c r="D86" s="52"/>
      <c r="E86" s="52"/>
      <c r="F86" s="52"/>
      <c r="G86" s="52"/>
      <c r="H86" s="52"/>
      <c r="I86" s="52"/>
      <c r="J86" s="75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88"/>
    </row>
    <row r="87" spans="1:27" s="28" customFormat="1" ht="13.9" customHeight="1" x14ac:dyDescent="0.2">
      <c r="A87" s="89"/>
      <c r="B87" s="52"/>
      <c r="C87" s="52"/>
      <c r="D87" s="52"/>
      <c r="E87" s="52"/>
      <c r="F87" s="52"/>
      <c r="G87" s="52"/>
      <c r="H87" s="52"/>
      <c r="I87" s="52"/>
      <c r="J87" s="75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88"/>
    </row>
    <row r="88" spans="1:27" s="28" customFormat="1" ht="13.9" customHeight="1" x14ac:dyDescent="0.2">
      <c r="A88" s="89"/>
      <c r="B88" s="52"/>
      <c r="C88" s="52"/>
      <c r="D88" s="52"/>
      <c r="E88" s="52"/>
      <c r="F88" s="52"/>
      <c r="G88" s="52"/>
      <c r="H88" s="52"/>
      <c r="I88" s="52"/>
      <c r="J88" s="75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88"/>
    </row>
    <row r="89" spans="1:27" s="28" customFormat="1" ht="13.9" customHeight="1" x14ac:dyDescent="0.2">
      <c r="A89" s="89"/>
      <c r="B89" s="52"/>
      <c r="C89" s="52"/>
      <c r="D89" s="52"/>
      <c r="E89" s="52"/>
      <c r="F89" s="52"/>
      <c r="G89" s="52"/>
      <c r="H89" s="52"/>
      <c r="I89" s="52"/>
      <c r="J89" s="75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88"/>
    </row>
    <row r="90" spans="1:27" s="28" customFormat="1" ht="13.9" customHeight="1" x14ac:dyDescent="0.2">
      <c r="A90" s="89"/>
      <c r="B90" s="52"/>
      <c r="C90" s="52"/>
      <c r="D90" s="52"/>
      <c r="E90" s="52"/>
      <c r="F90" s="52"/>
      <c r="G90" s="52"/>
      <c r="H90" s="52"/>
      <c r="I90" s="52"/>
      <c r="J90" s="75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88"/>
    </row>
    <row r="91" spans="1:27" s="28" customFormat="1" ht="13.9" customHeight="1" x14ac:dyDescent="0.2">
      <c r="A91" s="89"/>
      <c r="B91" s="52"/>
      <c r="C91" s="52"/>
      <c r="D91" s="52"/>
      <c r="E91" s="52"/>
      <c r="F91" s="52"/>
      <c r="G91" s="52"/>
      <c r="H91" s="52"/>
      <c r="I91" s="52"/>
      <c r="J91" s="75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88"/>
    </row>
    <row r="92" spans="1:27" s="28" customFormat="1" ht="13.9" customHeight="1" x14ac:dyDescent="0.2">
      <c r="A92" s="89"/>
      <c r="B92" s="52"/>
      <c r="C92" s="52"/>
      <c r="D92" s="52"/>
      <c r="E92" s="52"/>
      <c r="F92" s="52"/>
      <c r="G92" s="52"/>
      <c r="H92" s="52"/>
      <c r="I92" s="52"/>
      <c r="J92" s="75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88"/>
    </row>
    <row r="93" spans="1:27" s="28" customFormat="1" ht="13.9" customHeight="1" x14ac:dyDescent="0.2">
      <c r="A93" s="89"/>
      <c r="B93" s="52"/>
      <c r="C93" s="52"/>
      <c r="D93" s="52"/>
      <c r="E93" s="52"/>
      <c r="F93" s="52"/>
      <c r="G93" s="52"/>
      <c r="H93" s="52"/>
      <c r="I93" s="52"/>
      <c r="J93" s="75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88"/>
    </row>
    <row r="94" spans="1:27" s="28" customFormat="1" ht="13.9" customHeight="1" x14ac:dyDescent="0.2">
      <c r="A94" s="89"/>
      <c r="B94" s="52"/>
      <c r="C94" s="52"/>
      <c r="D94" s="52"/>
      <c r="E94" s="52"/>
      <c r="F94" s="52"/>
      <c r="G94" s="52"/>
      <c r="H94" s="52"/>
      <c r="I94" s="52"/>
      <c r="J94" s="75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88"/>
    </row>
    <row r="95" spans="1:27" s="28" customFormat="1" ht="13.9" customHeight="1" x14ac:dyDescent="0.2">
      <c r="A95" s="89"/>
      <c r="B95" s="52"/>
      <c r="C95" s="52"/>
      <c r="D95" s="52"/>
      <c r="E95" s="52"/>
      <c r="F95" s="52"/>
      <c r="G95" s="52"/>
      <c r="H95" s="52"/>
      <c r="I95" s="52"/>
      <c r="J95" s="75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88"/>
    </row>
    <row r="96" spans="1:27" s="28" customFormat="1" ht="13.9" customHeight="1" x14ac:dyDescent="0.2">
      <c r="A96" s="89"/>
      <c r="B96" s="52"/>
      <c r="C96" s="52"/>
      <c r="D96" s="52"/>
      <c r="E96" s="52"/>
      <c r="F96" s="52"/>
      <c r="G96" s="52"/>
      <c r="H96" s="52"/>
      <c r="I96" s="52"/>
      <c r="J96" s="75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88"/>
    </row>
    <row r="97" spans="1:27" s="28" customFormat="1" ht="13.9" customHeight="1" x14ac:dyDescent="0.2">
      <c r="A97" s="89"/>
      <c r="B97" s="52"/>
      <c r="C97" s="52"/>
      <c r="D97" s="52"/>
      <c r="E97" s="52"/>
      <c r="F97" s="52"/>
      <c r="G97" s="52"/>
      <c r="H97" s="52"/>
      <c r="I97" s="52"/>
      <c r="J97" s="75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88"/>
    </row>
    <row r="98" spans="1:27" s="28" customFormat="1" ht="13.9" customHeight="1" x14ac:dyDescent="0.2">
      <c r="A98" s="89"/>
      <c r="B98" s="52"/>
      <c r="C98" s="52"/>
      <c r="D98" s="52"/>
      <c r="E98" s="52"/>
      <c r="F98" s="52"/>
      <c r="G98" s="52"/>
      <c r="H98" s="52"/>
      <c r="I98" s="52"/>
      <c r="J98" s="75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88"/>
    </row>
    <row r="99" spans="1:27" s="28" customFormat="1" ht="13.9" customHeight="1" x14ac:dyDescent="0.2">
      <c r="A99" s="89"/>
      <c r="B99" s="52"/>
      <c r="C99" s="52"/>
      <c r="D99" s="52"/>
      <c r="E99" s="52"/>
      <c r="F99" s="52"/>
      <c r="G99" s="52"/>
      <c r="H99" s="52"/>
      <c r="I99" s="52"/>
      <c r="J99" s="75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88"/>
    </row>
    <row r="100" spans="1:27" s="28" customFormat="1" ht="13.9" customHeight="1" x14ac:dyDescent="0.2">
      <c r="A100" s="89"/>
      <c r="B100" s="52"/>
      <c r="C100" s="52"/>
      <c r="D100" s="52"/>
      <c r="E100" s="52"/>
      <c r="F100" s="52"/>
      <c r="G100" s="52"/>
      <c r="H100" s="52"/>
      <c r="I100" s="52"/>
      <c r="J100" s="75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88"/>
    </row>
    <row r="101" spans="1:27" s="28" customFormat="1" ht="13.9" customHeight="1" x14ac:dyDescent="0.2">
      <c r="A101" s="113"/>
      <c r="B101" s="114"/>
      <c r="C101" s="114"/>
      <c r="D101" s="114"/>
      <c r="E101" s="114"/>
      <c r="F101" s="114"/>
      <c r="G101" s="114"/>
      <c r="H101" s="114"/>
      <c r="I101" s="114"/>
      <c r="J101" s="115"/>
      <c r="K101" s="114"/>
      <c r="L101" s="114"/>
      <c r="M101" s="114"/>
      <c r="N101" s="114"/>
      <c r="O101" s="114"/>
      <c r="P101" s="114"/>
      <c r="Q101" s="114"/>
      <c r="R101" s="114"/>
      <c r="S101" s="114"/>
      <c r="T101" s="114"/>
      <c r="U101" s="114"/>
      <c r="V101" s="114"/>
      <c r="W101" s="114"/>
      <c r="X101" s="114"/>
      <c r="Y101" s="114"/>
      <c r="Z101" s="114"/>
      <c r="AA101" s="116"/>
    </row>
    <row r="102" spans="1:27" s="28" customFormat="1" ht="13.9" customHeight="1" x14ac:dyDescent="0.2">
      <c r="J102" s="2"/>
    </row>
    <row r="103" spans="1:27" s="28" customFormat="1" ht="13.9" customHeight="1" x14ac:dyDescent="0.2">
      <c r="J103" s="2"/>
    </row>
    <row r="104" spans="1:27" s="28" customFormat="1" ht="13.9" customHeight="1" x14ac:dyDescent="0.2">
      <c r="J104" s="2"/>
    </row>
    <row r="105" spans="1:27" s="28" customFormat="1" ht="13.9" customHeight="1" x14ac:dyDescent="0.2">
      <c r="J105" s="2"/>
    </row>
    <row r="106" spans="1:27" s="28" customFormat="1" ht="13.9" customHeight="1" x14ac:dyDescent="0.2">
      <c r="J106" s="2"/>
    </row>
    <row r="107" spans="1:27" s="28" customFormat="1" ht="13.9" customHeight="1" x14ac:dyDescent="0.2">
      <c r="J107" s="2"/>
    </row>
    <row r="108" spans="1:27" s="28" customFormat="1" ht="13.9" customHeight="1" x14ac:dyDescent="0.2">
      <c r="J108" s="2"/>
    </row>
    <row r="109" spans="1:27" s="28" customFormat="1" ht="13.9" customHeight="1" x14ac:dyDescent="0.2">
      <c r="J109" s="2"/>
    </row>
    <row r="110" spans="1:27" s="28" customFormat="1" ht="13.9" customHeight="1" x14ac:dyDescent="0.2">
      <c r="J110" s="2"/>
    </row>
    <row r="111" spans="1:27" s="28" customFormat="1" ht="13.9" customHeight="1" x14ac:dyDescent="0.2">
      <c r="J111" s="2"/>
    </row>
    <row r="112" spans="1:27" s="28" customFormat="1" ht="13.9" customHeight="1" x14ac:dyDescent="0.2">
      <c r="J112" s="2"/>
    </row>
    <row r="113" spans="10:10" s="28" customFormat="1" ht="13.9" customHeight="1" x14ac:dyDescent="0.2">
      <c r="J113" s="2"/>
    </row>
    <row r="114" spans="10:10" s="28" customFormat="1" ht="13.9" customHeight="1" x14ac:dyDescent="0.2">
      <c r="J114" s="2"/>
    </row>
    <row r="115" spans="10:10" s="28" customFormat="1" ht="13.9" customHeight="1" x14ac:dyDescent="0.2">
      <c r="J115" s="2"/>
    </row>
    <row r="116" spans="10:10" s="28" customFormat="1" ht="13.9" customHeight="1" x14ac:dyDescent="0.2">
      <c r="J116" s="2"/>
    </row>
    <row r="117" spans="10:10" s="28" customFormat="1" ht="13.9" customHeight="1" x14ac:dyDescent="0.2">
      <c r="J117" s="2"/>
    </row>
    <row r="118" spans="10:10" s="28" customFormat="1" ht="13.9" customHeight="1" x14ac:dyDescent="0.2">
      <c r="J118" s="2"/>
    </row>
    <row r="119" spans="10:10" s="28" customFormat="1" ht="13.9" customHeight="1" x14ac:dyDescent="0.2">
      <c r="J119" s="2"/>
    </row>
    <row r="120" spans="10:10" s="28" customFormat="1" ht="13.9" customHeight="1" x14ac:dyDescent="0.2">
      <c r="J120" s="2"/>
    </row>
    <row r="121" spans="10:10" s="28" customFormat="1" ht="13.9" customHeight="1" x14ac:dyDescent="0.2">
      <c r="J121" s="2"/>
    </row>
    <row r="122" spans="10:10" s="28" customFormat="1" ht="13.9" customHeight="1" x14ac:dyDescent="0.2">
      <c r="J122" s="2"/>
    </row>
    <row r="123" spans="10:10" s="28" customFormat="1" ht="13.9" customHeight="1" x14ac:dyDescent="0.2">
      <c r="J123" s="2"/>
    </row>
    <row r="124" spans="10:10" s="28" customFormat="1" ht="13.9" customHeight="1" x14ac:dyDescent="0.2">
      <c r="J124" s="2"/>
    </row>
    <row r="125" spans="10:10" s="28" customFormat="1" ht="13.9" customHeight="1" x14ac:dyDescent="0.2">
      <c r="J125" s="2"/>
    </row>
    <row r="126" spans="10:10" s="28" customFormat="1" ht="13.9" customHeight="1" x14ac:dyDescent="0.2">
      <c r="J126" s="2"/>
    </row>
    <row r="127" spans="10:10" s="28" customFormat="1" ht="13.9" customHeight="1" x14ac:dyDescent="0.2">
      <c r="J127" s="2"/>
    </row>
    <row r="128" spans="10:10" s="28" customFormat="1" ht="13.9" customHeight="1" x14ac:dyDescent="0.2">
      <c r="J128" s="2"/>
    </row>
    <row r="129" spans="10:10" s="28" customFormat="1" ht="13.9" customHeight="1" x14ac:dyDescent="0.2">
      <c r="J129" s="2"/>
    </row>
    <row r="130" spans="10:10" s="28" customFormat="1" ht="13.9" customHeight="1" x14ac:dyDescent="0.2">
      <c r="J130" s="2"/>
    </row>
    <row r="131" spans="10:10" s="28" customFormat="1" ht="13.9" customHeight="1" x14ac:dyDescent="0.2">
      <c r="J131" s="2"/>
    </row>
    <row r="132" spans="10:10" s="28" customFormat="1" ht="13.9" customHeight="1" x14ac:dyDescent="0.2">
      <c r="J132" s="2"/>
    </row>
    <row r="133" spans="10:10" s="28" customFormat="1" ht="13.9" customHeight="1" x14ac:dyDescent="0.2">
      <c r="J133" s="2"/>
    </row>
    <row r="134" spans="10:10" s="28" customFormat="1" ht="13.9" customHeight="1" x14ac:dyDescent="0.2">
      <c r="J134" s="2"/>
    </row>
    <row r="135" spans="10:10" s="28" customFormat="1" ht="13.9" customHeight="1" x14ac:dyDescent="0.2">
      <c r="J135" s="2"/>
    </row>
    <row r="136" spans="10:10" s="28" customFormat="1" ht="13.9" customHeight="1" x14ac:dyDescent="0.2">
      <c r="J136" s="2"/>
    </row>
    <row r="137" spans="10:10" s="28" customFormat="1" ht="13.9" customHeight="1" x14ac:dyDescent="0.2">
      <c r="J137" s="2"/>
    </row>
    <row r="138" spans="10:10" s="28" customFormat="1" ht="13.9" customHeight="1" x14ac:dyDescent="0.2">
      <c r="J138" s="2"/>
    </row>
    <row r="139" spans="10:10" s="28" customFormat="1" ht="13.9" customHeight="1" x14ac:dyDescent="0.2">
      <c r="J139" s="2"/>
    </row>
    <row r="140" spans="10:10" s="28" customFormat="1" ht="13.9" customHeight="1" x14ac:dyDescent="0.2">
      <c r="J140" s="2"/>
    </row>
    <row r="141" spans="10:10" s="28" customFormat="1" ht="13.9" customHeight="1" x14ac:dyDescent="0.2">
      <c r="J141" s="2"/>
    </row>
    <row r="142" spans="10:10" s="28" customFormat="1" ht="13.9" customHeight="1" x14ac:dyDescent="0.2">
      <c r="J142" s="2"/>
    </row>
    <row r="143" spans="10:10" s="28" customFormat="1" ht="13.9" customHeight="1" x14ac:dyDescent="0.2">
      <c r="J143" s="2"/>
    </row>
    <row r="144" spans="10:10" s="28" customFormat="1" ht="13.9" customHeight="1" x14ac:dyDescent="0.2">
      <c r="J144" s="2"/>
    </row>
    <row r="145" spans="10:10" s="28" customFormat="1" ht="13.9" customHeight="1" x14ac:dyDescent="0.2">
      <c r="J145" s="2"/>
    </row>
    <row r="146" spans="10:10" s="28" customFormat="1" ht="13.9" customHeight="1" x14ac:dyDescent="0.2">
      <c r="J146" s="2"/>
    </row>
    <row r="147" spans="10:10" s="28" customFormat="1" ht="13.9" customHeight="1" x14ac:dyDescent="0.2">
      <c r="J147" s="2"/>
    </row>
    <row r="148" spans="10:10" s="28" customFormat="1" ht="13.9" customHeight="1" x14ac:dyDescent="0.2">
      <c r="J148" s="2"/>
    </row>
    <row r="149" spans="10:10" s="28" customFormat="1" ht="13.9" customHeight="1" x14ac:dyDescent="0.2">
      <c r="J149" s="2"/>
    </row>
    <row r="150" spans="10:10" s="28" customFormat="1" ht="13.9" customHeight="1" x14ac:dyDescent="0.2">
      <c r="J150" s="2"/>
    </row>
    <row r="151" spans="10:10" s="28" customFormat="1" ht="13.9" customHeight="1" x14ac:dyDescent="0.2">
      <c r="J151" s="2"/>
    </row>
    <row r="152" spans="10:10" s="28" customFormat="1" ht="13.9" customHeight="1" x14ac:dyDescent="0.2">
      <c r="J152" s="2"/>
    </row>
    <row r="153" spans="10:10" s="28" customFormat="1" ht="13.9" customHeight="1" x14ac:dyDescent="0.2">
      <c r="J153" s="2"/>
    </row>
    <row r="154" spans="10:10" s="28" customFormat="1" ht="13.9" customHeight="1" x14ac:dyDescent="0.2">
      <c r="J154" s="2"/>
    </row>
    <row r="155" spans="10:10" s="28" customFormat="1" ht="13.9" customHeight="1" x14ac:dyDescent="0.2">
      <c r="J155" s="2"/>
    </row>
    <row r="156" spans="10:10" s="28" customFormat="1" ht="13.9" customHeight="1" x14ac:dyDescent="0.2">
      <c r="J156" s="2"/>
    </row>
    <row r="157" spans="10:10" s="28" customFormat="1" ht="13.9" customHeight="1" x14ac:dyDescent="0.2">
      <c r="J157" s="2"/>
    </row>
    <row r="158" spans="10:10" s="28" customFormat="1" ht="13.9" customHeight="1" x14ac:dyDescent="0.2">
      <c r="J158" s="2"/>
    </row>
    <row r="159" spans="10:10" s="28" customFormat="1" ht="13.9" customHeight="1" x14ac:dyDescent="0.2">
      <c r="J159" s="2"/>
    </row>
    <row r="160" spans="10:10" s="28" customFormat="1" ht="13.9" customHeight="1" x14ac:dyDescent="0.2">
      <c r="J160" s="2"/>
    </row>
    <row r="161" spans="10:10" s="28" customFormat="1" ht="13.9" customHeight="1" x14ac:dyDescent="0.2">
      <c r="J161" s="2"/>
    </row>
    <row r="162" spans="10:10" s="28" customFormat="1" ht="13.9" customHeight="1" x14ac:dyDescent="0.2">
      <c r="J162" s="2"/>
    </row>
    <row r="163" spans="10:10" s="28" customFormat="1" ht="13.9" customHeight="1" x14ac:dyDescent="0.2">
      <c r="J163" s="2"/>
    </row>
    <row r="164" spans="10:10" s="28" customFormat="1" ht="13.9" customHeight="1" x14ac:dyDescent="0.2">
      <c r="J164" s="2"/>
    </row>
    <row r="165" spans="10:10" s="28" customFormat="1" ht="13.9" customHeight="1" x14ac:dyDescent="0.2">
      <c r="J165" s="2"/>
    </row>
    <row r="166" spans="10:10" s="28" customFormat="1" ht="13.9" customHeight="1" x14ac:dyDescent="0.2">
      <c r="J166" s="2"/>
    </row>
    <row r="167" spans="10:10" s="28" customFormat="1" ht="13.9" customHeight="1" x14ac:dyDescent="0.2">
      <c r="J167" s="2"/>
    </row>
    <row r="168" spans="10:10" s="28" customFormat="1" ht="13.9" customHeight="1" x14ac:dyDescent="0.2">
      <c r="J168" s="2"/>
    </row>
    <row r="169" spans="10:10" s="28" customFormat="1" ht="13.9" customHeight="1" x14ac:dyDescent="0.2">
      <c r="J169" s="2"/>
    </row>
    <row r="170" spans="10:10" s="28" customFormat="1" ht="13.9" customHeight="1" x14ac:dyDescent="0.2">
      <c r="J170" s="2"/>
    </row>
    <row r="171" spans="10:10" s="28" customFormat="1" ht="13.9" customHeight="1" x14ac:dyDescent="0.2">
      <c r="J171" s="2"/>
    </row>
    <row r="172" spans="10:10" s="28" customFormat="1" ht="13.9" customHeight="1" x14ac:dyDescent="0.2">
      <c r="J172" s="2"/>
    </row>
    <row r="173" spans="10:10" s="28" customFormat="1" ht="13.9" customHeight="1" x14ac:dyDescent="0.2">
      <c r="J173" s="2"/>
    </row>
    <row r="174" spans="10:10" s="28" customFormat="1" ht="13.9" customHeight="1" x14ac:dyDescent="0.2">
      <c r="J174" s="2"/>
    </row>
    <row r="175" spans="10:10" s="28" customFormat="1" ht="13.9" customHeight="1" x14ac:dyDescent="0.2">
      <c r="J175" s="2"/>
    </row>
    <row r="176" spans="10:10" s="28" customFormat="1" ht="13.9" customHeight="1" x14ac:dyDescent="0.2">
      <c r="J176" s="2"/>
    </row>
    <row r="177" spans="10:10" s="28" customFormat="1" ht="13.9" customHeight="1" x14ac:dyDescent="0.2">
      <c r="J177" s="2"/>
    </row>
    <row r="178" spans="10:10" s="28" customFormat="1" ht="13.9" customHeight="1" x14ac:dyDescent="0.2">
      <c r="J178" s="2"/>
    </row>
    <row r="179" spans="10:10" s="28" customFormat="1" ht="13.9" customHeight="1" x14ac:dyDescent="0.2">
      <c r="J179" s="2"/>
    </row>
    <row r="180" spans="10:10" s="28" customFormat="1" ht="13.9" customHeight="1" x14ac:dyDescent="0.2">
      <c r="J180" s="2"/>
    </row>
    <row r="181" spans="10:10" s="28" customFormat="1" ht="13.9" customHeight="1" x14ac:dyDescent="0.2">
      <c r="J181" s="2"/>
    </row>
    <row r="182" spans="10:10" s="28" customFormat="1" ht="13.9" customHeight="1" x14ac:dyDescent="0.2">
      <c r="J182" s="2"/>
    </row>
    <row r="183" spans="10:10" s="28" customFormat="1" ht="13.9" customHeight="1" x14ac:dyDescent="0.2">
      <c r="J183" s="2"/>
    </row>
    <row r="184" spans="10:10" s="28" customFormat="1" ht="13.9" customHeight="1" x14ac:dyDescent="0.2">
      <c r="J184" s="2"/>
    </row>
    <row r="185" spans="10:10" s="28" customFormat="1" ht="13.9" customHeight="1" x14ac:dyDescent="0.2">
      <c r="J185" s="2"/>
    </row>
    <row r="186" spans="10:10" s="28" customFormat="1" ht="13.9" customHeight="1" x14ac:dyDescent="0.2">
      <c r="J186" s="2"/>
    </row>
    <row r="187" spans="10:10" s="28" customFormat="1" ht="13.9" customHeight="1" x14ac:dyDescent="0.2">
      <c r="J187" s="2"/>
    </row>
    <row r="188" spans="10:10" s="28" customFormat="1" ht="13.9" customHeight="1" x14ac:dyDescent="0.2">
      <c r="J188" s="2"/>
    </row>
    <row r="189" spans="10:10" s="28" customFormat="1" ht="13.9" customHeight="1" x14ac:dyDescent="0.2">
      <c r="J189" s="2"/>
    </row>
    <row r="190" spans="10:10" s="28" customFormat="1" ht="13.9" customHeight="1" x14ac:dyDescent="0.2">
      <c r="J190" s="2"/>
    </row>
    <row r="191" spans="10:10" s="28" customFormat="1" ht="13.9" customHeight="1" x14ac:dyDescent="0.2">
      <c r="J191" s="2"/>
    </row>
    <row r="192" spans="10:10" s="28" customFormat="1" ht="13.9" customHeight="1" x14ac:dyDescent="0.2">
      <c r="J192" s="2"/>
    </row>
    <row r="193" spans="10:10" s="28" customFormat="1" ht="13.9" customHeight="1" x14ac:dyDescent="0.2">
      <c r="J193" s="2"/>
    </row>
    <row r="194" spans="10:10" s="28" customFormat="1" ht="13.9" customHeight="1" x14ac:dyDescent="0.2">
      <c r="J194" s="2"/>
    </row>
    <row r="195" spans="10:10" s="28" customFormat="1" ht="13.9" customHeight="1" x14ac:dyDescent="0.2">
      <c r="J195" s="2"/>
    </row>
    <row r="196" spans="10:10" s="28" customFormat="1" ht="13.9" customHeight="1" x14ac:dyDescent="0.2">
      <c r="J196" s="2"/>
    </row>
    <row r="197" spans="10:10" s="28" customFormat="1" ht="13.9" customHeight="1" x14ac:dyDescent="0.2">
      <c r="J197" s="2"/>
    </row>
    <row r="198" spans="10:10" s="28" customFormat="1" ht="13.9" customHeight="1" x14ac:dyDescent="0.2">
      <c r="J198" s="2"/>
    </row>
    <row r="199" spans="10:10" s="28" customFormat="1" ht="13.9" customHeight="1" x14ac:dyDescent="0.2">
      <c r="J199" s="2"/>
    </row>
    <row r="200" spans="10:10" s="28" customFormat="1" ht="13.9" customHeight="1" x14ac:dyDescent="0.2">
      <c r="J200" s="2"/>
    </row>
    <row r="201" spans="10:10" s="28" customFormat="1" ht="13.9" customHeight="1" x14ac:dyDescent="0.2">
      <c r="J201" s="2"/>
    </row>
    <row r="202" spans="10:10" s="28" customFormat="1" ht="13.9" customHeight="1" x14ac:dyDescent="0.2">
      <c r="J202" s="2"/>
    </row>
    <row r="203" spans="10:10" s="28" customFormat="1" ht="13.9" customHeight="1" x14ac:dyDescent="0.2">
      <c r="J203" s="2"/>
    </row>
    <row r="204" spans="10:10" s="28" customFormat="1" ht="13.9" customHeight="1" x14ac:dyDescent="0.2">
      <c r="J204" s="2"/>
    </row>
    <row r="205" spans="10:10" s="28" customFormat="1" ht="13.9" customHeight="1" x14ac:dyDescent="0.2">
      <c r="J205" s="2"/>
    </row>
    <row r="206" spans="10:10" s="28" customFormat="1" ht="13.9" customHeight="1" x14ac:dyDescent="0.2">
      <c r="J206" s="2"/>
    </row>
    <row r="207" spans="10:10" s="28" customFormat="1" ht="13.9" customHeight="1" x14ac:dyDescent="0.2">
      <c r="J207" s="2"/>
    </row>
    <row r="208" spans="10:10" s="28" customFormat="1" ht="13.9" customHeight="1" x14ac:dyDescent="0.2">
      <c r="J208" s="2"/>
    </row>
    <row r="209" spans="10:10" s="28" customFormat="1" ht="13.9" customHeight="1" x14ac:dyDescent="0.2">
      <c r="J209" s="2"/>
    </row>
    <row r="210" spans="10:10" s="28" customFormat="1" ht="13.9" customHeight="1" x14ac:dyDescent="0.2">
      <c r="J210" s="2"/>
    </row>
    <row r="211" spans="10:10" s="28" customFormat="1" ht="13.9" customHeight="1" x14ac:dyDescent="0.2">
      <c r="J211" s="2"/>
    </row>
    <row r="212" spans="10:10" s="28" customFormat="1" ht="13.9" customHeight="1" x14ac:dyDescent="0.2">
      <c r="J212" s="2"/>
    </row>
    <row r="213" spans="10:10" s="28" customFormat="1" ht="13.9" customHeight="1" x14ac:dyDescent="0.2">
      <c r="J213" s="2"/>
    </row>
    <row r="214" spans="10:10" s="28" customFormat="1" ht="13.9" customHeight="1" x14ac:dyDescent="0.2">
      <c r="J214" s="2"/>
    </row>
    <row r="215" spans="10:10" s="28" customFormat="1" ht="13.9" customHeight="1" x14ac:dyDescent="0.2">
      <c r="J215" s="2"/>
    </row>
    <row r="216" spans="10:10" s="28" customFormat="1" ht="13.9" customHeight="1" x14ac:dyDescent="0.2">
      <c r="J216" s="2"/>
    </row>
    <row r="217" spans="10:10" s="28" customFormat="1" ht="13.9" customHeight="1" x14ac:dyDescent="0.2">
      <c r="J217" s="2"/>
    </row>
    <row r="218" spans="10:10" s="28" customFormat="1" ht="13.9" customHeight="1" x14ac:dyDescent="0.2">
      <c r="J218" s="2"/>
    </row>
    <row r="219" spans="10:10" s="28" customFormat="1" ht="13.9" customHeight="1" x14ac:dyDescent="0.2">
      <c r="J219" s="2"/>
    </row>
    <row r="220" spans="10:10" s="28" customFormat="1" ht="13.9" customHeight="1" x14ac:dyDescent="0.2">
      <c r="J220" s="2"/>
    </row>
    <row r="221" spans="10:10" s="28" customFormat="1" ht="13.9" customHeight="1" x14ac:dyDescent="0.2">
      <c r="J221" s="2"/>
    </row>
    <row r="222" spans="10:10" s="28" customFormat="1" ht="13.9" customHeight="1" x14ac:dyDescent="0.2">
      <c r="J222" s="2"/>
    </row>
    <row r="223" spans="10:10" s="28" customFormat="1" ht="13.9" customHeight="1" x14ac:dyDescent="0.2">
      <c r="J223" s="2"/>
    </row>
    <row r="224" spans="10:10" s="28" customFormat="1" ht="13.9" customHeight="1" x14ac:dyDescent="0.2">
      <c r="J224" s="2"/>
    </row>
    <row r="225" spans="10:10" s="28" customFormat="1" ht="13.9" customHeight="1" x14ac:dyDescent="0.2">
      <c r="J225" s="2"/>
    </row>
    <row r="226" spans="10:10" s="28" customFormat="1" ht="13.9" customHeight="1" x14ac:dyDescent="0.2">
      <c r="J226" s="2"/>
    </row>
    <row r="227" spans="10:10" s="28" customFormat="1" ht="13.9" customHeight="1" x14ac:dyDescent="0.2">
      <c r="J227" s="2"/>
    </row>
    <row r="228" spans="10:10" s="28" customFormat="1" ht="13.9" customHeight="1" x14ac:dyDescent="0.2">
      <c r="J228" s="2"/>
    </row>
    <row r="229" spans="10:10" s="28" customFormat="1" ht="13.9" customHeight="1" x14ac:dyDescent="0.2">
      <c r="J229" s="2"/>
    </row>
    <row r="230" spans="10:10" s="28" customFormat="1" ht="13.9" customHeight="1" x14ac:dyDescent="0.2">
      <c r="J230" s="2"/>
    </row>
    <row r="231" spans="10:10" s="28" customFormat="1" ht="13.9" customHeight="1" x14ac:dyDescent="0.2">
      <c r="J231" s="2"/>
    </row>
    <row r="232" spans="10:10" s="28" customFormat="1" ht="13.9" customHeight="1" x14ac:dyDescent="0.2">
      <c r="J232" s="2"/>
    </row>
    <row r="233" spans="10:10" s="28" customFormat="1" ht="13.9" customHeight="1" x14ac:dyDescent="0.2">
      <c r="J233" s="2"/>
    </row>
    <row r="234" spans="10:10" s="28" customFormat="1" ht="13.9" customHeight="1" x14ac:dyDescent="0.2">
      <c r="J234" s="2"/>
    </row>
    <row r="235" spans="10:10" s="28" customFormat="1" ht="13.9" customHeight="1" x14ac:dyDescent="0.2">
      <c r="J235" s="2"/>
    </row>
    <row r="236" spans="10:10" s="28" customFormat="1" ht="13.9" customHeight="1" x14ac:dyDescent="0.2">
      <c r="J236" s="2"/>
    </row>
    <row r="237" spans="10:10" s="28" customFormat="1" ht="13.9" customHeight="1" x14ac:dyDescent="0.2">
      <c r="J237" s="2"/>
    </row>
    <row r="238" spans="10:10" s="28" customFormat="1" ht="13.9" customHeight="1" x14ac:dyDescent="0.2">
      <c r="J238" s="2"/>
    </row>
    <row r="239" spans="10:10" s="28" customFormat="1" ht="13.9" customHeight="1" x14ac:dyDescent="0.2">
      <c r="J239" s="2"/>
    </row>
    <row r="240" spans="10:10" s="28" customFormat="1" ht="13.9" customHeight="1" x14ac:dyDescent="0.2">
      <c r="J240" s="2"/>
    </row>
    <row r="241" spans="10:10" s="28" customFormat="1" ht="13.9" customHeight="1" x14ac:dyDescent="0.2">
      <c r="J241" s="2"/>
    </row>
    <row r="242" spans="10:10" s="28" customFormat="1" ht="13.9" customHeight="1" x14ac:dyDescent="0.2">
      <c r="J242" s="2"/>
    </row>
    <row r="243" spans="10:10" s="28" customFormat="1" ht="13.9" customHeight="1" x14ac:dyDescent="0.2">
      <c r="J243" s="2"/>
    </row>
    <row r="244" spans="10:10" s="28" customFormat="1" ht="13.9" customHeight="1" x14ac:dyDescent="0.2">
      <c r="J244" s="2"/>
    </row>
    <row r="245" spans="10:10" s="28" customFormat="1" ht="13.9" customHeight="1" x14ac:dyDescent="0.2">
      <c r="J245" s="2"/>
    </row>
    <row r="246" spans="10:10" s="28" customFormat="1" ht="13.9" customHeight="1" x14ac:dyDescent="0.2">
      <c r="J246" s="2"/>
    </row>
    <row r="247" spans="10:10" s="28" customFormat="1" ht="13.9" customHeight="1" x14ac:dyDescent="0.2">
      <c r="J247" s="2"/>
    </row>
    <row r="248" spans="10:10" s="28" customFormat="1" ht="13.9" customHeight="1" x14ac:dyDescent="0.2">
      <c r="J248" s="2"/>
    </row>
    <row r="249" spans="10:10" s="28" customFormat="1" ht="13.9" customHeight="1" x14ac:dyDescent="0.2">
      <c r="J249" s="2"/>
    </row>
    <row r="250" spans="10:10" s="28" customFormat="1" ht="13.9" customHeight="1" x14ac:dyDescent="0.2">
      <c r="J250" s="2"/>
    </row>
    <row r="251" spans="10:10" s="28" customFormat="1" ht="13.9" customHeight="1" x14ac:dyDescent="0.2">
      <c r="J251" s="2"/>
    </row>
    <row r="252" spans="10:10" s="28" customFormat="1" ht="13.9" customHeight="1" x14ac:dyDescent="0.2">
      <c r="J252" s="2"/>
    </row>
    <row r="253" spans="10:10" s="28" customFormat="1" ht="13.9" customHeight="1" x14ac:dyDescent="0.2">
      <c r="J253" s="2"/>
    </row>
    <row r="254" spans="10:10" s="28" customFormat="1" ht="13.9" customHeight="1" x14ac:dyDescent="0.2">
      <c r="J254" s="2"/>
    </row>
    <row r="255" spans="10:10" s="28" customFormat="1" ht="13.9" customHeight="1" x14ac:dyDescent="0.2">
      <c r="J255" s="2"/>
    </row>
    <row r="256" spans="10:10" s="28" customFormat="1" ht="13.9" customHeight="1" x14ac:dyDescent="0.2">
      <c r="J256" s="2"/>
    </row>
    <row r="257" spans="10:10" s="28" customFormat="1" ht="13.9" customHeight="1" x14ac:dyDescent="0.2">
      <c r="J257" s="2"/>
    </row>
    <row r="258" spans="10:10" s="28" customFormat="1" ht="13.9" customHeight="1" x14ac:dyDescent="0.2">
      <c r="J258" s="2"/>
    </row>
    <row r="259" spans="10:10" s="28" customFormat="1" ht="13.9" customHeight="1" x14ac:dyDescent="0.2">
      <c r="J259" s="2"/>
    </row>
    <row r="260" spans="10:10" s="28" customFormat="1" ht="13.9" customHeight="1" x14ac:dyDescent="0.2">
      <c r="J260" s="2"/>
    </row>
    <row r="261" spans="10:10" s="28" customFormat="1" ht="13.9" customHeight="1" x14ac:dyDescent="0.2">
      <c r="J261" s="2"/>
    </row>
    <row r="262" spans="10:10" s="28" customFormat="1" ht="13.9" customHeight="1" x14ac:dyDescent="0.2">
      <c r="J262" s="2"/>
    </row>
    <row r="263" spans="10:10" s="28" customFormat="1" ht="13.9" customHeight="1" x14ac:dyDescent="0.2">
      <c r="J263" s="2"/>
    </row>
    <row r="264" spans="10:10" s="28" customFormat="1" ht="13.9" customHeight="1" x14ac:dyDescent="0.2">
      <c r="J264" s="2"/>
    </row>
    <row r="265" spans="10:10" s="28" customFormat="1" ht="13.9" customHeight="1" x14ac:dyDescent="0.2">
      <c r="J265" s="2"/>
    </row>
    <row r="266" spans="10:10" s="28" customFormat="1" ht="13.9" customHeight="1" x14ac:dyDescent="0.2">
      <c r="J266" s="2"/>
    </row>
    <row r="267" spans="10:10" s="28" customFormat="1" ht="13.9" customHeight="1" x14ac:dyDescent="0.2">
      <c r="J267" s="2"/>
    </row>
    <row r="268" spans="10:10" s="28" customFormat="1" ht="13.9" customHeight="1" x14ac:dyDescent="0.2">
      <c r="J268" s="2"/>
    </row>
    <row r="269" spans="10:10" s="28" customFormat="1" ht="13.9" customHeight="1" x14ac:dyDescent="0.2">
      <c r="J269" s="2"/>
    </row>
    <row r="270" spans="10:10" s="28" customFormat="1" ht="13.9" customHeight="1" x14ac:dyDescent="0.2">
      <c r="J270" s="2"/>
    </row>
    <row r="271" spans="10:10" s="28" customFormat="1" ht="13.9" customHeight="1" x14ac:dyDescent="0.2">
      <c r="J271" s="2"/>
    </row>
    <row r="272" spans="10:10" s="28" customFormat="1" ht="13.9" customHeight="1" x14ac:dyDescent="0.2">
      <c r="J272" s="2"/>
    </row>
    <row r="273" spans="10:10" s="28" customFormat="1" ht="13.9" customHeight="1" x14ac:dyDescent="0.2">
      <c r="J273" s="2"/>
    </row>
    <row r="274" spans="10:10" s="28" customFormat="1" ht="13.9" customHeight="1" x14ac:dyDescent="0.2">
      <c r="J274" s="2"/>
    </row>
    <row r="275" spans="10:10" s="28" customFormat="1" ht="13.9" customHeight="1" x14ac:dyDescent="0.2">
      <c r="J275" s="2"/>
    </row>
    <row r="276" spans="10:10" s="28" customFormat="1" ht="13.9" customHeight="1" x14ac:dyDescent="0.2">
      <c r="J276" s="2"/>
    </row>
    <row r="277" spans="10:10" s="28" customFormat="1" ht="13.9" customHeight="1" x14ac:dyDescent="0.2">
      <c r="J277" s="2"/>
    </row>
    <row r="278" spans="10:10" s="28" customFormat="1" ht="13.9" customHeight="1" x14ac:dyDescent="0.2">
      <c r="J278" s="2"/>
    </row>
    <row r="279" spans="10:10" s="28" customFormat="1" ht="13.9" customHeight="1" x14ac:dyDescent="0.2">
      <c r="J279" s="2"/>
    </row>
    <row r="280" spans="10:10" s="28" customFormat="1" ht="13.9" customHeight="1" x14ac:dyDescent="0.2">
      <c r="J280" s="2"/>
    </row>
    <row r="281" spans="10:10" s="28" customFormat="1" ht="13.9" customHeight="1" x14ac:dyDescent="0.2">
      <c r="J281" s="2"/>
    </row>
    <row r="282" spans="10:10" s="28" customFormat="1" ht="13.9" customHeight="1" x14ac:dyDescent="0.2">
      <c r="J282" s="2"/>
    </row>
    <row r="283" spans="10:10" s="28" customFormat="1" ht="13.9" customHeight="1" x14ac:dyDescent="0.2">
      <c r="J283" s="2"/>
    </row>
    <row r="284" spans="10:10" s="28" customFormat="1" ht="13.9" customHeight="1" x14ac:dyDescent="0.2">
      <c r="J284" s="2"/>
    </row>
    <row r="285" spans="10:10" s="28" customFormat="1" ht="13.9" customHeight="1" x14ac:dyDescent="0.2">
      <c r="J285" s="2"/>
    </row>
    <row r="286" spans="10:10" s="28" customFormat="1" ht="13.9" customHeight="1" x14ac:dyDescent="0.2">
      <c r="J286" s="2"/>
    </row>
    <row r="287" spans="10:10" s="28" customFormat="1" ht="13.9" customHeight="1" x14ac:dyDescent="0.2">
      <c r="J287" s="2"/>
    </row>
    <row r="288" spans="10:10" s="28" customFormat="1" ht="13.9" customHeight="1" x14ac:dyDescent="0.2">
      <c r="J288" s="2"/>
    </row>
    <row r="289" spans="10:10" s="28" customFormat="1" ht="13.9" customHeight="1" x14ac:dyDescent="0.2">
      <c r="J289" s="2"/>
    </row>
    <row r="290" spans="10:10" s="28" customFormat="1" ht="13.9" customHeight="1" x14ac:dyDescent="0.2">
      <c r="J290" s="2"/>
    </row>
    <row r="291" spans="10:10" s="28" customFormat="1" ht="13.9" customHeight="1" x14ac:dyDescent="0.2">
      <c r="J291" s="2"/>
    </row>
    <row r="292" spans="10:10" s="28" customFormat="1" ht="13.9" customHeight="1" x14ac:dyDescent="0.2">
      <c r="J292" s="2"/>
    </row>
    <row r="293" spans="10:10" s="28" customFormat="1" ht="13.9" customHeight="1" x14ac:dyDescent="0.2">
      <c r="J293" s="2"/>
    </row>
    <row r="294" spans="10:10" s="28" customFormat="1" ht="13.9" customHeight="1" x14ac:dyDescent="0.2">
      <c r="J294" s="2"/>
    </row>
    <row r="295" spans="10:10" s="28" customFormat="1" ht="13.9" customHeight="1" x14ac:dyDescent="0.2">
      <c r="J295" s="2"/>
    </row>
    <row r="296" spans="10:10" s="28" customFormat="1" ht="13.9" customHeight="1" x14ac:dyDescent="0.2">
      <c r="J296" s="2"/>
    </row>
    <row r="297" spans="10:10" s="28" customFormat="1" ht="13.9" customHeight="1" x14ac:dyDescent="0.2">
      <c r="J297" s="2"/>
    </row>
    <row r="298" spans="10:10" s="28" customFormat="1" ht="13.9" customHeight="1" x14ac:dyDescent="0.2">
      <c r="J298" s="2"/>
    </row>
    <row r="299" spans="10:10" s="28" customFormat="1" ht="13.9" customHeight="1" x14ac:dyDescent="0.2">
      <c r="J299" s="2"/>
    </row>
    <row r="300" spans="10:10" s="28" customFormat="1" ht="13.9" customHeight="1" x14ac:dyDescent="0.2">
      <c r="J300" s="2"/>
    </row>
    <row r="301" spans="10:10" s="28" customFormat="1" ht="13.9" customHeight="1" x14ac:dyDescent="0.2">
      <c r="J301" s="2"/>
    </row>
    <row r="302" spans="10:10" s="28" customFormat="1" ht="13.9" customHeight="1" x14ac:dyDescent="0.2">
      <c r="J302" s="2"/>
    </row>
    <row r="303" spans="10:10" s="28" customFormat="1" ht="13.9" customHeight="1" x14ac:dyDescent="0.2">
      <c r="J303" s="2"/>
    </row>
    <row r="304" spans="10:10" s="28" customFormat="1" ht="13.9" customHeight="1" x14ac:dyDescent="0.2">
      <c r="J304" s="2"/>
    </row>
    <row r="305" spans="10:10" s="28" customFormat="1" ht="13.9" customHeight="1" x14ac:dyDescent="0.2">
      <c r="J305" s="2"/>
    </row>
    <row r="306" spans="10:10" s="28" customFormat="1" ht="13.9" customHeight="1" x14ac:dyDescent="0.2">
      <c r="J306" s="2"/>
    </row>
    <row r="307" spans="10:10" s="28" customFormat="1" ht="13.9" customHeight="1" x14ac:dyDescent="0.2">
      <c r="J307" s="2"/>
    </row>
    <row r="308" spans="10:10" s="28" customFormat="1" ht="13.9" customHeight="1" x14ac:dyDescent="0.2">
      <c r="J308" s="2"/>
    </row>
    <row r="309" spans="10:10" s="28" customFormat="1" ht="13.9" customHeight="1" x14ac:dyDescent="0.2">
      <c r="J309" s="2"/>
    </row>
    <row r="310" spans="10:10" s="28" customFormat="1" ht="13.9" customHeight="1" x14ac:dyDescent="0.2">
      <c r="J310" s="2"/>
    </row>
    <row r="311" spans="10:10" s="28" customFormat="1" ht="13.9" customHeight="1" x14ac:dyDescent="0.2">
      <c r="J311" s="2"/>
    </row>
    <row r="312" spans="10:10" s="28" customFormat="1" ht="13.9" customHeight="1" x14ac:dyDescent="0.2">
      <c r="J312" s="2"/>
    </row>
    <row r="313" spans="10:10" s="28" customFormat="1" ht="13.9" customHeight="1" x14ac:dyDescent="0.2">
      <c r="J313" s="2"/>
    </row>
    <row r="314" spans="10:10" s="28" customFormat="1" ht="13.9" customHeight="1" x14ac:dyDescent="0.2">
      <c r="J314" s="2"/>
    </row>
    <row r="315" spans="10:10" s="28" customFormat="1" ht="13.9" customHeight="1" x14ac:dyDescent="0.2">
      <c r="J315" s="2"/>
    </row>
    <row r="316" spans="10:10" s="28" customFormat="1" ht="13.9" customHeight="1" x14ac:dyDescent="0.2">
      <c r="J316" s="2"/>
    </row>
    <row r="317" spans="10:10" s="28" customFormat="1" ht="13.9" customHeight="1" x14ac:dyDescent="0.2">
      <c r="J317" s="2"/>
    </row>
    <row r="318" spans="10:10" s="28" customFormat="1" ht="13.9" customHeight="1" x14ac:dyDescent="0.2">
      <c r="J318" s="2"/>
    </row>
    <row r="319" spans="10:10" s="28" customFormat="1" ht="13.9" customHeight="1" x14ac:dyDescent="0.2">
      <c r="J319" s="2"/>
    </row>
    <row r="320" spans="10:10" s="28" customFormat="1" ht="13.9" customHeight="1" x14ac:dyDescent="0.2">
      <c r="J320" s="2"/>
    </row>
    <row r="321" spans="10:10" s="28" customFormat="1" ht="13.9" customHeight="1" x14ac:dyDescent="0.2">
      <c r="J321" s="2"/>
    </row>
    <row r="322" spans="10:10" s="28" customFormat="1" ht="13.9" customHeight="1" x14ac:dyDescent="0.2">
      <c r="J322" s="2"/>
    </row>
    <row r="323" spans="10:10" s="28" customFormat="1" ht="13.9" customHeight="1" x14ac:dyDescent="0.2">
      <c r="J323" s="2"/>
    </row>
    <row r="324" spans="10:10" s="28" customFormat="1" ht="13.9" customHeight="1" x14ac:dyDescent="0.2">
      <c r="J324" s="2"/>
    </row>
    <row r="325" spans="10:10" s="28" customFormat="1" ht="13.9" customHeight="1" x14ac:dyDescent="0.2">
      <c r="J325" s="2"/>
    </row>
    <row r="326" spans="10:10" s="28" customFormat="1" ht="13.9" customHeight="1" x14ac:dyDescent="0.2">
      <c r="J326" s="2"/>
    </row>
    <row r="327" spans="10:10" s="28" customFormat="1" ht="13.9" customHeight="1" x14ac:dyDescent="0.2">
      <c r="J327" s="2"/>
    </row>
    <row r="328" spans="10:10" s="28" customFormat="1" ht="13.9" customHeight="1" x14ac:dyDescent="0.2">
      <c r="J328" s="2"/>
    </row>
    <row r="329" spans="10:10" s="28" customFormat="1" ht="13.9" customHeight="1" x14ac:dyDescent="0.2">
      <c r="J329" s="2"/>
    </row>
    <row r="330" spans="10:10" s="28" customFormat="1" ht="13.9" customHeight="1" x14ac:dyDescent="0.2">
      <c r="J330" s="2"/>
    </row>
    <row r="331" spans="10:10" s="28" customFormat="1" ht="13.9" customHeight="1" x14ac:dyDescent="0.2">
      <c r="J331" s="2"/>
    </row>
    <row r="332" spans="10:10" s="28" customFormat="1" ht="13.9" customHeight="1" x14ac:dyDescent="0.2">
      <c r="J332" s="2"/>
    </row>
    <row r="333" spans="10:10" s="28" customFormat="1" ht="13.9" customHeight="1" x14ac:dyDescent="0.2">
      <c r="J333" s="2"/>
    </row>
    <row r="334" spans="10:10" s="28" customFormat="1" ht="13.9" customHeight="1" x14ac:dyDescent="0.2">
      <c r="J334" s="2"/>
    </row>
    <row r="335" spans="10:10" s="28" customFormat="1" ht="13.9" customHeight="1" x14ac:dyDescent="0.2">
      <c r="J335" s="2"/>
    </row>
    <row r="336" spans="10:10" s="28" customFormat="1" ht="13.9" customHeight="1" x14ac:dyDescent="0.2">
      <c r="J336" s="2"/>
    </row>
    <row r="337" spans="10:10" s="28" customFormat="1" ht="13.9" customHeight="1" x14ac:dyDescent="0.2">
      <c r="J337" s="2"/>
    </row>
    <row r="338" spans="10:10" s="28" customFormat="1" ht="13.9" customHeight="1" x14ac:dyDescent="0.2">
      <c r="J338" s="2"/>
    </row>
    <row r="339" spans="10:10" s="28" customFormat="1" ht="13.9" customHeight="1" x14ac:dyDescent="0.2">
      <c r="J339" s="2"/>
    </row>
    <row r="340" spans="10:10" s="28" customFormat="1" ht="13.9" customHeight="1" x14ac:dyDescent="0.2">
      <c r="J340" s="2"/>
    </row>
    <row r="341" spans="10:10" s="28" customFormat="1" ht="13.9" customHeight="1" x14ac:dyDescent="0.2">
      <c r="J341" s="2"/>
    </row>
    <row r="342" spans="10:10" s="28" customFormat="1" ht="13.9" customHeight="1" x14ac:dyDescent="0.2">
      <c r="J342" s="2"/>
    </row>
    <row r="343" spans="10:10" s="28" customFormat="1" ht="13.9" customHeight="1" x14ac:dyDescent="0.2">
      <c r="J343" s="2"/>
    </row>
    <row r="344" spans="10:10" s="28" customFormat="1" ht="13.9" customHeight="1" x14ac:dyDescent="0.2">
      <c r="J344" s="2"/>
    </row>
    <row r="345" spans="10:10" s="28" customFormat="1" ht="13.9" customHeight="1" x14ac:dyDescent="0.2">
      <c r="J345" s="2"/>
    </row>
    <row r="346" spans="10:10" s="28" customFormat="1" ht="13.9" customHeight="1" x14ac:dyDescent="0.2">
      <c r="J346" s="2"/>
    </row>
    <row r="347" spans="10:10" s="28" customFormat="1" ht="13.9" customHeight="1" x14ac:dyDescent="0.2">
      <c r="J347" s="2"/>
    </row>
    <row r="348" spans="10:10" s="28" customFormat="1" ht="13.9" customHeight="1" x14ac:dyDescent="0.2">
      <c r="J348" s="2"/>
    </row>
    <row r="349" spans="10:10" s="28" customFormat="1" ht="13.9" customHeight="1" x14ac:dyDescent="0.2">
      <c r="J349" s="2"/>
    </row>
    <row r="350" spans="10:10" s="28" customFormat="1" ht="13.9" customHeight="1" x14ac:dyDescent="0.2">
      <c r="J350" s="2"/>
    </row>
    <row r="351" spans="10:10" s="28" customFormat="1" ht="13.9" customHeight="1" x14ac:dyDescent="0.2">
      <c r="J351" s="2"/>
    </row>
    <row r="352" spans="10:10" s="28" customFormat="1" ht="13.9" customHeight="1" x14ac:dyDescent="0.2">
      <c r="J352" s="2"/>
    </row>
    <row r="353" spans="10:10" s="28" customFormat="1" ht="13.9" customHeight="1" x14ac:dyDescent="0.2">
      <c r="J353" s="2"/>
    </row>
    <row r="354" spans="10:10" s="28" customFormat="1" ht="13.9" customHeight="1" x14ac:dyDescent="0.2">
      <c r="J354" s="2"/>
    </row>
    <row r="355" spans="10:10" s="28" customFormat="1" ht="13.9" customHeight="1" x14ac:dyDescent="0.2">
      <c r="J355" s="2"/>
    </row>
    <row r="356" spans="10:10" s="28" customFormat="1" ht="13.9" customHeight="1" x14ac:dyDescent="0.2">
      <c r="J356" s="2"/>
    </row>
    <row r="357" spans="10:10" s="28" customFormat="1" ht="13.9" customHeight="1" x14ac:dyDescent="0.2">
      <c r="J357" s="2"/>
    </row>
    <row r="358" spans="10:10" s="28" customFormat="1" ht="13.9" customHeight="1" x14ac:dyDescent="0.2">
      <c r="J358" s="2"/>
    </row>
    <row r="359" spans="10:10" s="28" customFormat="1" ht="13.9" customHeight="1" x14ac:dyDescent="0.2">
      <c r="J359" s="2"/>
    </row>
    <row r="360" spans="10:10" s="28" customFormat="1" ht="13.9" customHeight="1" x14ac:dyDescent="0.2">
      <c r="J360" s="2"/>
    </row>
    <row r="361" spans="10:10" s="28" customFormat="1" ht="13.9" customHeight="1" x14ac:dyDescent="0.2">
      <c r="J361" s="2"/>
    </row>
    <row r="362" spans="10:10" s="28" customFormat="1" ht="13.9" customHeight="1" x14ac:dyDescent="0.2">
      <c r="J362" s="2"/>
    </row>
    <row r="363" spans="10:10" s="28" customFormat="1" ht="13.9" customHeight="1" x14ac:dyDescent="0.2">
      <c r="J363" s="2"/>
    </row>
    <row r="364" spans="10:10" s="28" customFormat="1" ht="13.9" customHeight="1" x14ac:dyDescent="0.2">
      <c r="J364" s="2"/>
    </row>
    <row r="365" spans="10:10" s="28" customFormat="1" ht="13.9" customHeight="1" x14ac:dyDescent="0.2">
      <c r="J365" s="2"/>
    </row>
    <row r="366" spans="10:10" s="28" customFormat="1" ht="13.9" customHeight="1" x14ac:dyDescent="0.2">
      <c r="J366" s="2"/>
    </row>
    <row r="367" spans="10:10" s="28" customFormat="1" ht="13.9" customHeight="1" x14ac:dyDescent="0.2">
      <c r="J367" s="2"/>
    </row>
    <row r="368" spans="10:10" s="28" customFormat="1" ht="13.9" customHeight="1" x14ac:dyDescent="0.2">
      <c r="J368" s="2"/>
    </row>
    <row r="369" spans="10:10" s="28" customFormat="1" ht="13.9" customHeight="1" x14ac:dyDescent="0.2">
      <c r="J369" s="2"/>
    </row>
    <row r="370" spans="10:10" s="28" customFormat="1" ht="13.9" customHeight="1" x14ac:dyDescent="0.2">
      <c r="J370" s="2"/>
    </row>
    <row r="371" spans="10:10" s="28" customFormat="1" ht="13.9" customHeight="1" x14ac:dyDescent="0.2">
      <c r="J371" s="2"/>
    </row>
    <row r="372" spans="10:10" s="28" customFormat="1" ht="13.9" customHeight="1" x14ac:dyDescent="0.2">
      <c r="J372" s="2"/>
    </row>
    <row r="373" spans="10:10" s="28" customFormat="1" ht="13.9" customHeight="1" x14ac:dyDescent="0.2">
      <c r="J373" s="2"/>
    </row>
    <row r="374" spans="10:10" s="28" customFormat="1" ht="13.9" customHeight="1" x14ac:dyDescent="0.2">
      <c r="J374" s="2"/>
    </row>
    <row r="375" spans="10:10" s="28" customFormat="1" ht="13.9" customHeight="1" x14ac:dyDescent="0.2">
      <c r="J375" s="2"/>
    </row>
    <row r="376" spans="10:10" s="28" customFormat="1" ht="13.9" customHeight="1" x14ac:dyDescent="0.2">
      <c r="J376" s="2"/>
    </row>
    <row r="377" spans="10:10" s="28" customFormat="1" ht="13.9" customHeight="1" x14ac:dyDescent="0.2">
      <c r="J377" s="2"/>
    </row>
    <row r="378" spans="10:10" s="28" customFormat="1" ht="13.9" customHeight="1" x14ac:dyDescent="0.2">
      <c r="J378" s="2"/>
    </row>
    <row r="379" spans="10:10" s="28" customFormat="1" ht="13.9" customHeight="1" x14ac:dyDescent="0.2">
      <c r="J379" s="2"/>
    </row>
    <row r="380" spans="10:10" s="28" customFormat="1" ht="13.9" customHeight="1" x14ac:dyDescent="0.2">
      <c r="J380" s="2"/>
    </row>
    <row r="381" spans="10:10" s="28" customFormat="1" ht="13.9" customHeight="1" x14ac:dyDescent="0.2">
      <c r="J381" s="2"/>
    </row>
    <row r="382" spans="10:10" s="28" customFormat="1" ht="13.9" customHeight="1" x14ac:dyDescent="0.2">
      <c r="J382" s="2"/>
    </row>
    <row r="383" spans="10:10" s="28" customFormat="1" ht="13.9" customHeight="1" x14ac:dyDescent="0.2">
      <c r="J383" s="2"/>
    </row>
    <row r="384" spans="10:10" s="28" customFormat="1" ht="13.9" customHeight="1" x14ac:dyDescent="0.2">
      <c r="J384" s="2"/>
    </row>
    <row r="385" spans="10:10" s="28" customFormat="1" ht="13.9" customHeight="1" x14ac:dyDescent="0.2">
      <c r="J385" s="2"/>
    </row>
    <row r="386" spans="10:10" s="28" customFormat="1" ht="13.9" customHeight="1" x14ac:dyDescent="0.2">
      <c r="J386" s="2"/>
    </row>
    <row r="387" spans="10:10" s="28" customFormat="1" ht="13.9" customHeight="1" x14ac:dyDescent="0.2">
      <c r="J387" s="2"/>
    </row>
    <row r="388" spans="10:10" s="28" customFormat="1" ht="13.9" customHeight="1" x14ac:dyDescent="0.2">
      <c r="J388" s="2"/>
    </row>
    <row r="389" spans="10:10" s="28" customFormat="1" ht="13.9" customHeight="1" x14ac:dyDescent="0.2">
      <c r="J389" s="2"/>
    </row>
    <row r="390" spans="10:10" s="28" customFormat="1" ht="13.9" customHeight="1" x14ac:dyDescent="0.2">
      <c r="J390" s="2"/>
    </row>
    <row r="391" spans="10:10" s="28" customFormat="1" ht="13.9" customHeight="1" x14ac:dyDescent="0.2">
      <c r="J391" s="2"/>
    </row>
    <row r="392" spans="10:10" s="28" customFormat="1" ht="13.9" customHeight="1" x14ac:dyDescent="0.2">
      <c r="J392" s="2"/>
    </row>
    <row r="393" spans="10:10" s="28" customFormat="1" ht="13.9" customHeight="1" x14ac:dyDescent="0.2">
      <c r="J393" s="2"/>
    </row>
    <row r="394" spans="10:10" s="28" customFormat="1" ht="13.9" customHeight="1" x14ac:dyDescent="0.2">
      <c r="J394" s="2"/>
    </row>
    <row r="395" spans="10:10" s="28" customFormat="1" ht="13.9" customHeight="1" x14ac:dyDescent="0.2">
      <c r="J395" s="2"/>
    </row>
    <row r="396" spans="10:10" s="28" customFormat="1" ht="13.9" customHeight="1" x14ac:dyDescent="0.2">
      <c r="J396" s="2"/>
    </row>
    <row r="397" spans="10:10" s="28" customFormat="1" ht="13.9" customHeight="1" x14ac:dyDescent="0.2">
      <c r="J397" s="2"/>
    </row>
    <row r="398" spans="10:10" s="28" customFormat="1" ht="13.9" customHeight="1" x14ac:dyDescent="0.2">
      <c r="J398" s="2"/>
    </row>
    <row r="399" spans="10:10" s="28" customFormat="1" ht="13.9" customHeight="1" x14ac:dyDescent="0.2">
      <c r="J399" s="2"/>
    </row>
    <row r="400" spans="10:10" s="28" customFormat="1" ht="13.9" customHeight="1" x14ac:dyDescent="0.2">
      <c r="J400" s="2"/>
    </row>
    <row r="401" spans="10:10" s="28" customFormat="1" ht="13.9" customHeight="1" x14ac:dyDescent="0.2">
      <c r="J401" s="2"/>
    </row>
    <row r="402" spans="10:10" s="28" customFormat="1" ht="13.9" customHeight="1" x14ac:dyDescent="0.2">
      <c r="J402" s="2"/>
    </row>
    <row r="403" spans="10:10" s="28" customFormat="1" ht="13.9" customHeight="1" x14ac:dyDescent="0.2">
      <c r="J403" s="2"/>
    </row>
    <row r="404" spans="10:10" s="28" customFormat="1" ht="13.9" customHeight="1" x14ac:dyDescent="0.2">
      <c r="J404" s="2"/>
    </row>
    <row r="405" spans="10:10" s="28" customFormat="1" ht="13.9" customHeight="1" x14ac:dyDescent="0.2">
      <c r="J405" s="2"/>
    </row>
    <row r="406" spans="10:10" s="28" customFormat="1" ht="13.9" customHeight="1" x14ac:dyDescent="0.2">
      <c r="J406" s="2"/>
    </row>
    <row r="407" spans="10:10" s="28" customFormat="1" ht="13.9" customHeight="1" x14ac:dyDescent="0.2">
      <c r="J407" s="2"/>
    </row>
    <row r="408" spans="10:10" s="28" customFormat="1" ht="13.9" customHeight="1" x14ac:dyDescent="0.2">
      <c r="J408" s="2"/>
    </row>
    <row r="409" spans="10:10" s="28" customFormat="1" ht="13.9" customHeight="1" x14ac:dyDescent="0.2">
      <c r="J409" s="2"/>
    </row>
    <row r="410" spans="10:10" s="28" customFormat="1" ht="13.9" customHeight="1" x14ac:dyDescent="0.2">
      <c r="J410" s="2"/>
    </row>
    <row r="411" spans="10:10" s="28" customFormat="1" ht="13.9" customHeight="1" x14ac:dyDescent="0.2">
      <c r="J411" s="2"/>
    </row>
    <row r="412" spans="10:10" s="28" customFormat="1" ht="13.9" customHeight="1" x14ac:dyDescent="0.2">
      <c r="J412" s="2"/>
    </row>
    <row r="413" spans="10:10" s="28" customFormat="1" ht="13.9" customHeight="1" x14ac:dyDescent="0.2">
      <c r="J413" s="2"/>
    </row>
    <row r="414" spans="10:10" s="28" customFormat="1" ht="13.9" customHeight="1" x14ac:dyDescent="0.2">
      <c r="J414" s="2"/>
    </row>
    <row r="415" spans="10:10" s="28" customFormat="1" ht="13.9" customHeight="1" x14ac:dyDescent="0.2">
      <c r="J415" s="2"/>
    </row>
    <row r="416" spans="10:10" s="28" customFormat="1" ht="13.9" customHeight="1" x14ac:dyDescent="0.2">
      <c r="J416" s="2"/>
    </row>
    <row r="417" spans="10:10" s="28" customFormat="1" ht="13.9" customHeight="1" x14ac:dyDescent="0.2">
      <c r="J417" s="2"/>
    </row>
    <row r="418" spans="10:10" s="28" customFormat="1" ht="13.9" customHeight="1" x14ac:dyDescent="0.2">
      <c r="J418" s="2"/>
    </row>
    <row r="419" spans="10:10" s="28" customFormat="1" ht="13.9" customHeight="1" x14ac:dyDescent="0.2">
      <c r="J419" s="2"/>
    </row>
    <row r="420" spans="10:10" s="28" customFormat="1" ht="13.9" customHeight="1" x14ac:dyDescent="0.2">
      <c r="J420" s="2"/>
    </row>
    <row r="421" spans="10:10" s="28" customFormat="1" ht="13.9" customHeight="1" x14ac:dyDescent="0.2">
      <c r="J421" s="2"/>
    </row>
    <row r="422" spans="10:10" s="28" customFormat="1" ht="13.9" customHeight="1" x14ac:dyDescent="0.2">
      <c r="J422" s="2"/>
    </row>
    <row r="423" spans="10:10" s="28" customFormat="1" ht="13.9" customHeight="1" x14ac:dyDescent="0.2">
      <c r="J423" s="2"/>
    </row>
    <row r="424" spans="10:10" s="28" customFormat="1" ht="13.9" customHeight="1" x14ac:dyDescent="0.2">
      <c r="J424" s="2"/>
    </row>
    <row r="425" spans="10:10" s="28" customFormat="1" ht="13.9" customHeight="1" x14ac:dyDescent="0.2">
      <c r="J425" s="2"/>
    </row>
    <row r="426" spans="10:10" s="28" customFormat="1" ht="13.9" customHeight="1" x14ac:dyDescent="0.2">
      <c r="J426" s="2"/>
    </row>
    <row r="427" spans="10:10" s="28" customFormat="1" ht="13.9" customHeight="1" x14ac:dyDescent="0.2">
      <c r="J427" s="2"/>
    </row>
    <row r="428" spans="10:10" s="28" customFormat="1" ht="13.9" customHeight="1" x14ac:dyDescent="0.2">
      <c r="J428" s="2"/>
    </row>
    <row r="429" spans="10:10" s="28" customFormat="1" ht="13.9" customHeight="1" x14ac:dyDescent="0.2">
      <c r="J429" s="2"/>
    </row>
    <row r="430" spans="10:10" s="28" customFormat="1" ht="13.9" customHeight="1" x14ac:dyDescent="0.2">
      <c r="J430" s="2"/>
    </row>
    <row r="431" spans="10:10" s="28" customFormat="1" ht="13.9" customHeight="1" x14ac:dyDescent="0.2">
      <c r="J431" s="2"/>
    </row>
    <row r="432" spans="10:10" s="28" customFormat="1" ht="13.9" customHeight="1" x14ac:dyDescent="0.2">
      <c r="J432" s="2"/>
    </row>
    <row r="433" spans="10:10" s="28" customFormat="1" ht="13.9" customHeight="1" x14ac:dyDescent="0.2">
      <c r="J433" s="2"/>
    </row>
    <row r="434" spans="10:10" s="28" customFormat="1" ht="13.9" customHeight="1" x14ac:dyDescent="0.2">
      <c r="J434" s="2"/>
    </row>
    <row r="435" spans="10:10" s="28" customFormat="1" ht="13.9" customHeight="1" x14ac:dyDescent="0.2">
      <c r="J435" s="2"/>
    </row>
    <row r="436" spans="10:10" s="28" customFormat="1" ht="13.9" customHeight="1" x14ac:dyDescent="0.2">
      <c r="J436" s="2"/>
    </row>
    <row r="437" spans="10:10" s="28" customFormat="1" ht="13.9" customHeight="1" x14ac:dyDescent="0.2">
      <c r="J437" s="2"/>
    </row>
    <row r="438" spans="10:10" s="28" customFormat="1" ht="13.9" customHeight="1" x14ac:dyDescent="0.2">
      <c r="J438" s="2"/>
    </row>
    <row r="439" spans="10:10" s="28" customFormat="1" ht="13.9" customHeight="1" x14ac:dyDescent="0.2">
      <c r="J439" s="2"/>
    </row>
    <row r="440" spans="10:10" s="28" customFormat="1" ht="13.9" customHeight="1" x14ac:dyDescent="0.2">
      <c r="J440" s="2"/>
    </row>
    <row r="441" spans="10:10" s="28" customFormat="1" ht="13.9" customHeight="1" x14ac:dyDescent="0.2">
      <c r="J441" s="2"/>
    </row>
    <row r="442" spans="10:10" s="28" customFormat="1" ht="13.9" customHeight="1" x14ac:dyDescent="0.2">
      <c r="J442" s="2"/>
    </row>
    <row r="443" spans="10:10" s="28" customFormat="1" ht="13.9" customHeight="1" x14ac:dyDescent="0.2">
      <c r="J443" s="2"/>
    </row>
    <row r="444" spans="10:10" s="28" customFormat="1" ht="13.9" customHeight="1" x14ac:dyDescent="0.2">
      <c r="J444" s="2"/>
    </row>
    <row r="445" spans="10:10" s="28" customFormat="1" ht="13.9" customHeight="1" x14ac:dyDescent="0.2">
      <c r="J445" s="2"/>
    </row>
    <row r="446" spans="10:10" s="28" customFormat="1" ht="13.9" customHeight="1" x14ac:dyDescent="0.2">
      <c r="J446" s="2"/>
    </row>
    <row r="447" spans="10:10" s="28" customFormat="1" ht="13.9" customHeight="1" x14ac:dyDescent="0.2">
      <c r="J447" s="2"/>
    </row>
    <row r="448" spans="10:10" s="28" customFormat="1" ht="13.9" customHeight="1" x14ac:dyDescent="0.2">
      <c r="J448" s="2"/>
    </row>
    <row r="449" spans="10:10" s="28" customFormat="1" ht="13.9" customHeight="1" x14ac:dyDescent="0.2">
      <c r="J449" s="2"/>
    </row>
    <row r="450" spans="10:10" s="28" customFormat="1" ht="13.9" customHeight="1" x14ac:dyDescent="0.2">
      <c r="J450" s="2"/>
    </row>
    <row r="451" spans="10:10" s="28" customFormat="1" ht="13.9" customHeight="1" x14ac:dyDescent="0.2">
      <c r="J451" s="2"/>
    </row>
    <row r="452" spans="10:10" s="28" customFormat="1" ht="13.9" customHeight="1" x14ac:dyDescent="0.2">
      <c r="J452" s="2"/>
    </row>
    <row r="453" spans="10:10" s="28" customFormat="1" ht="13.9" customHeight="1" x14ac:dyDescent="0.2">
      <c r="J453" s="2"/>
    </row>
    <row r="454" spans="10:10" s="28" customFormat="1" ht="13.9" customHeight="1" x14ac:dyDescent="0.2">
      <c r="J454" s="2"/>
    </row>
    <row r="455" spans="10:10" s="28" customFormat="1" ht="13.9" customHeight="1" x14ac:dyDescent="0.2">
      <c r="J455" s="2"/>
    </row>
    <row r="456" spans="10:10" s="28" customFormat="1" ht="13.9" customHeight="1" x14ac:dyDescent="0.2">
      <c r="J456" s="2"/>
    </row>
    <row r="457" spans="10:10" s="28" customFormat="1" ht="13.9" customHeight="1" x14ac:dyDescent="0.2">
      <c r="J457" s="2"/>
    </row>
    <row r="458" spans="10:10" s="28" customFormat="1" ht="13.9" customHeight="1" x14ac:dyDescent="0.2">
      <c r="J458" s="2"/>
    </row>
    <row r="459" spans="10:10" s="28" customFormat="1" ht="13.9" customHeight="1" x14ac:dyDescent="0.2">
      <c r="J459" s="2"/>
    </row>
    <row r="460" spans="10:10" s="28" customFormat="1" ht="13.9" customHeight="1" x14ac:dyDescent="0.2">
      <c r="J460" s="2"/>
    </row>
    <row r="461" spans="10:10" s="28" customFormat="1" ht="13.9" customHeight="1" x14ac:dyDescent="0.2">
      <c r="J461" s="2"/>
    </row>
    <row r="462" spans="10:10" s="28" customFormat="1" ht="13.9" customHeight="1" x14ac:dyDescent="0.2">
      <c r="J462" s="2"/>
    </row>
    <row r="463" spans="10:10" s="28" customFormat="1" ht="13.9" customHeight="1" x14ac:dyDescent="0.2">
      <c r="J463" s="2"/>
    </row>
    <row r="464" spans="10:10" s="28" customFormat="1" ht="13.9" customHeight="1" x14ac:dyDescent="0.2">
      <c r="J464" s="2"/>
    </row>
    <row r="465" spans="10:10" s="28" customFormat="1" ht="13.9" customHeight="1" x14ac:dyDescent="0.2">
      <c r="J465" s="2"/>
    </row>
    <row r="466" spans="10:10" s="28" customFormat="1" ht="13.9" customHeight="1" x14ac:dyDescent="0.2">
      <c r="J466" s="2"/>
    </row>
    <row r="467" spans="10:10" s="28" customFormat="1" ht="13.9" customHeight="1" x14ac:dyDescent="0.2">
      <c r="J467" s="2"/>
    </row>
  </sheetData>
  <sheetProtection algorithmName="SHA-512" hashValue="PWfb9hs5MtY2K90JvCIS4ffet2eTPtutQR7cPsIxiz2NSc90teOOD1qfozZMciz7pL3cc4bVaYMCaj2fVN8pfg==" saltValue="WDI+s+Oa253FyNaBYON0yg==" spinCount="100000" sheet="1" objects="1" scenarios="1"/>
  <mergeCells count="37">
    <mergeCell ref="K60:L60"/>
    <mergeCell ref="N63:O63"/>
    <mergeCell ref="K65:L65"/>
    <mergeCell ref="S57:T57"/>
    <mergeCell ref="M51:M52"/>
    <mergeCell ref="P51:P52"/>
    <mergeCell ref="K52:L52"/>
    <mergeCell ref="N52:O52"/>
    <mergeCell ref="K54:K55"/>
    <mergeCell ref="K57:K58"/>
    <mergeCell ref="P57:Q57"/>
    <mergeCell ref="L58:M58"/>
    <mergeCell ref="K46:L46"/>
    <mergeCell ref="K22:L22"/>
    <mergeCell ref="M27:N27"/>
    <mergeCell ref="Q27:R27"/>
    <mergeCell ref="K30:L30"/>
    <mergeCell ref="L36:L37"/>
    <mergeCell ref="O36:O37"/>
    <mergeCell ref="M37:N37"/>
    <mergeCell ref="K39:K40"/>
    <mergeCell ref="K43:K44"/>
    <mergeCell ref="P43:Q43"/>
    <mergeCell ref="L44:M44"/>
    <mergeCell ref="O44:P44"/>
    <mergeCell ref="K20:L20"/>
    <mergeCell ref="A1:X1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8:L18"/>
  </mergeCells>
  <printOptions horizontalCentered="1" gridLines="1"/>
  <pageMargins left="0.7" right="0.7" top="0.75" bottom="0.75" header="0.3" footer="0.3"/>
  <pageSetup orientation="portrait" r:id="rId1"/>
  <headerFooter>
    <oddFooter>&amp;CPage &amp;P+5 of 9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469"/>
  <sheetViews>
    <sheetView zoomScale="115" zoomScaleNormal="115" workbookViewId="0">
      <selection activeCell="T13" sqref="T13"/>
    </sheetView>
  </sheetViews>
  <sheetFormatPr defaultRowHeight="12.75" x14ac:dyDescent="0.2"/>
  <cols>
    <col min="1" max="9" width="3.28515625" customWidth="1"/>
    <col min="10" max="10" width="3.28515625" style="50" customWidth="1"/>
    <col min="11" max="12" width="3.28515625" customWidth="1"/>
    <col min="13" max="13" width="3.140625" customWidth="1"/>
    <col min="14" max="31" width="3.28515625" customWidth="1"/>
  </cols>
  <sheetData>
    <row r="1" spans="1:27" s="76" customFormat="1" ht="13.9" customHeight="1" x14ac:dyDescent="0.2">
      <c r="A1" s="165" t="s">
        <v>123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77"/>
      <c r="Z1" s="77"/>
      <c r="AA1" s="78"/>
    </row>
    <row r="2" spans="1:27" s="76" customFormat="1" ht="13.9" customHeight="1" x14ac:dyDescent="0.2">
      <c r="A2" s="79"/>
      <c r="B2" s="80"/>
      <c r="C2" s="80"/>
      <c r="D2" s="80"/>
      <c r="E2" s="80"/>
      <c r="F2" s="80"/>
      <c r="G2" s="80"/>
      <c r="H2" s="80"/>
      <c r="I2" s="80"/>
      <c r="J2" s="81" t="s">
        <v>124</v>
      </c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2"/>
      <c r="Z2" s="82"/>
      <c r="AA2" s="83"/>
    </row>
    <row r="3" spans="1:27" s="76" customFormat="1" ht="13.9" customHeight="1" x14ac:dyDescent="0.2">
      <c r="A3" s="122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2"/>
      <c r="Z3" s="82"/>
      <c r="AA3" s="83"/>
    </row>
    <row r="4" spans="1:27" s="76" customFormat="1" ht="13.9" customHeight="1" x14ac:dyDescent="0.2">
      <c r="A4" s="84" t="s">
        <v>140</v>
      </c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2"/>
      <c r="Z4" s="82"/>
      <c r="AA4" s="83"/>
    </row>
    <row r="5" spans="1:27" s="28" customFormat="1" ht="13.9" customHeight="1" x14ac:dyDescent="0.2">
      <c r="A5" s="123"/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52"/>
      <c r="Z5" s="52"/>
      <c r="AA5" s="88"/>
    </row>
    <row r="6" spans="1:27" s="28" customFormat="1" ht="16.899999999999999" customHeight="1" x14ac:dyDescent="0.2">
      <c r="A6" s="89" t="s">
        <v>11</v>
      </c>
      <c r="B6" s="52"/>
      <c r="C6" s="52"/>
      <c r="D6" s="52"/>
      <c r="E6" s="52"/>
      <c r="F6" s="52"/>
      <c r="G6" s="90"/>
      <c r="H6" s="52"/>
      <c r="I6" s="52"/>
      <c r="J6" s="91" t="s">
        <v>79</v>
      </c>
      <c r="K6" s="168" t="s">
        <v>80</v>
      </c>
      <c r="L6" s="168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88"/>
    </row>
    <row r="7" spans="1:27" s="28" customFormat="1" ht="16.899999999999999" customHeight="1" x14ac:dyDescent="0.2">
      <c r="A7" s="89" t="s">
        <v>84</v>
      </c>
      <c r="B7" s="52"/>
      <c r="C7" s="52"/>
      <c r="D7" s="52"/>
      <c r="E7" s="52"/>
      <c r="F7" s="52"/>
      <c r="G7" s="52"/>
      <c r="H7" s="52"/>
      <c r="I7" s="52" t="s">
        <v>85</v>
      </c>
      <c r="J7" s="75" t="s">
        <v>79</v>
      </c>
      <c r="K7" s="167">
        <v>60.3</v>
      </c>
      <c r="L7" s="167"/>
      <c r="M7" s="52"/>
      <c r="N7" s="52"/>
      <c r="O7" s="52"/>
      <c r="P7" s="52" t="s">
        <v>3</v>
      </c>
      <c r="Q7" s="52"/>
      <c r="R7" s="52"/>
      <c r="S7" s="52"/>
      <c r="T7" s="52"/>
      <c r="U7" s="52"/>
      <c r="V7" s="52"/>
      <c r="W7" s="52"/>
      <c r="X7" s="52"/>
      <c r="Y7" s="52"/>
      <c r="Z7" s="52"/>
      <c r="AA7" s="88"/>
    </row>
    <row r="8" spans="1:27" s="28" customFormat="1" ht="16.899999999999999" customHeight="1" x14ac:dyDescent="0.2">
      <c r="A8" s="89" t="s">
        <v>86</v>
      </c>
      <c r="B8" s="52"/>
      <c r="C8" s="52"/>
      <c r="D8" s="52"/>
      <c r="E8" s="52"/>
      <c r="F8" s="52"/>
      <c r="G8" s="52"/>
      <c r="H8" s="52"/>
      <c r="I8" s="52"/>
      <c r="J8" s="75" t="s">
        <v>79</v>
      </c>
      <c r="K8" s="167" t="s">
        <v>7</v>
      </c>
      <c r="L8" s="167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88"/>
    </row>
    <row r="9" spans="1:27" s="28" customFormat="1" ht="16.899999999999999" customHeight="1" x14ac:dyDescent="0.2">
      <c r="A9" s="89" t="s">
        <v>87</v>
      </c>
      <c r="B9" s="52"/>
      <c r="C9" s="52"/>
      <c r="D9" s="52"/>
      <c r="E9" s="52"/>
      <c r="F9" s="52"/>
      <c r="G9" s="52"/>
      <c r="H9" s="52"/>
      <c r="I9" s="52" t="s">
        <v>88</v>
      </c>
      <c r="J9" s="75" t="s">
        <v>79</v>
      </c>
      <c r="K9" s="169">
        <v>3.91</v>
      </c>
      <c r="L9" s="169"/>
      <c r="M9" s="52"/>
      <c r="N9" s="52"/>
      <c r="O9" s="52"/>
      <c r="P9" s="52" t="s">
        <v>3</v>
      </c>
      <c r="Q9" s="52"/>
      <c r="R9" s="52"/>
      <c r="S9" s="52"/>
      <c r="T9" s="52"/>
      <c r="U9" s="52"/>
      <c r="V9" s="52"/>
      <c r="W9" s="52"/>
      <c r="X9" s="52"/>
      <c r="Y9" s="52"/>
      <c r="Z9" s="52"/>
      <c r="AA9" s="88"/>
    </row>
    <row r="10" spans="1:27" s="28" customFormat="1" ht="16.899999999999999" customHeight="1" x14ac:dyDescent="0.2">
      <c r="A10" s="89" t="s">
        <v>89</v>
      </c>
      <c r="B10" s="52"/>
      <c r="C10" s="52"/>
      <c r="D10" s="52"/>
      <c r="E10" s="52"/>
      <c r="F10" s="52"/>
      <c r="G10" s="52"/>
      <c r="H10" s="52"/>
      <c r="I10" s="52" t="s">
        <v>90</v>
      </c>
      <c r="J10" s="75" t="s">
        <v>79</v>
      </c>
      <c r="K10" s="164">
        <f>K7-2*K9</f>
        <v>52.48</v>
      </c>
      <c r="L10" s="164"/>
      <c r="M10" s="52"/>
      <c r="N10" s="52"/>
      <c r="O10" s="52"/>
      <c r="P10" s="52" t="s">
        <v>3</v>
      </c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88"/>
    </row>
    <row r="11" spans="1:27" s="28" customFormat="1" ht="16.899999999999999" customHeight="1" x14ac:dyDescent="0.2">
      <c r="A11" s="89" t="s">
        <v>91</v>
      </c>
      <c r="B11" s="52"/>
      <c r="C11" s="52"/>
      <c r="D11" s="52"/>
      <c r="E11" s="52"/>
      <c r="F11" s="52"/>
      <c r="G11" s="52"/>
      <c r="H11" s="52"/>
      <c r="I11" s="52" t="s">
        <v>92</v>
      </c>
      <c r="J11" s="75" t="s">
        <v>79</v>
      </c>
      <c r="K11" s="172">
        <v>210000</v>
      </c>
      <c r="L11" s="172"/>
      <c r="M11" s="52"/>
      <c r="N11" s="52"/>
      <c r="O11" s="52"/>
      <c r="P11" s="52" t="s">
        <v>81</v>
      </c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88"/>
    </row>
    <row r="12" spans="1:27" s="28" customFormat="1" ht="16.899999999999999" customHeight="1" x14ac:dyDescent="0.2">
      <c r="A12" s="89" t="s">
        <v>1</v>
      </c>
      <c r="B12" s="52"/>
      <c r="C12" s="52"/>
      <c r="D12" s="52"/>
      <c r="E12" s="52"/>
      <c r="F12" s="52"/>
      <c r="G12" s="52"/>
      <c r="H12" s="52"/>
      <c r="I12" s="92" t="s">
        <v>85</v>
      </c>
      <c r="J12" s="75" t="s">
        <v>79</v>
      </c>
      <c r="K12" s="168">
        <v>10</v>
      </c>
      <c r="L12" s="168"/>
      <c r="M12" s="52"/>
      <c r="N12" s="52"/>
      <c r="O12" s="52"/>
      <c r="P12" s="52" t="s">
        <v>3</v>
      </c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88"/>
    </row>
    <row r="13" spans="1:27" s="28" customFormat="1" ht="16.899999999999999" customHeight="1" x14ac:dyDescent="0.2">
      <c r="A13" s="89" t="s">
        <v>2</v>
      </c>
      <c r="B13" s="52"/>
      <c r="C13" s="52"/>
      <c r="D13" s="52"/>
      <c r="E13" s="52"/>
      <c r="F13" s="52"/>
      <c r="G13" s="52"/>
      <c r="H13" s="52"/>
      <c r="I13" s="52" t="s">
        <v>93</v>
      </c>
      <c r="J13" s="75" t="s">
        <v>79</v>
      </c>
      <c r="K13" s="168">
        <v>40</v>
      </c>
      <c r="L13" s="168"/>
      <c r="M13" s="52"/>
      <c r="N13" s="52"/>
      <c r="O13" s="52"/>
      <c r="P13" s="52" t="s">
        <v>81</v>
      </c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88"/>
    </row>
    <row r="14" spans="1:27" s="28" customFormat="1" ht="16.899999999999999" customHeight="1" x14ac:dyDescent="0.2">
      <c r="A14" s="89" t="s">
        <v>18</v>
      </c>
      <c r="B14" s="52"/>
      <c r="C14" s="52"/>
      <c r="D14" s="52"/>
      <c r="E14" s="52"/>
      <c r="F14" s="52"/>
      <c r="G14" s="52"/>
      <c r="H14" s="52"/>
      <c r="I14" s="52"/>
      <c r="J14" s="75"/>
      <c r="K14" s="168">
        <v>150</v>
      </c>
      <c r="L14" s="168"/>
      <c r="M14" s="52"/>
      <c r="N14" s="52"/>
      <c r="O14" s="52"/>
      <c r="P14" s="52" t="s">
        <v>125</v>
      </c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88"/>
    </row>
    <row r="15" spans="1:27" s="28" customFormat="1" ht="16.899999999999999" customHeight="1" x14ac:dyDescent="0.2">
      <c r="A15" s="89" t="s">
        <v>126</v>
      </c>
      <c r="B15" s="52"/>
      <c r="C15" s="52"/>
      <c r="D15" s="52"/>
      <c r="E15" s="52"/>
      <c r="F15" s="52"/>
      <c r="G15" s="52"/>
      <c r="H15" s="52"/>
      <c r="I15" s="52"/>
      <c r="J15" s="75"/>
      <c r="K15" s="168">
        <v>50</v>
      </c>
      <c r="L15" s="168"/>
      <c r="M15" s="52"/>
      <c r="N15" s="52"/>
      <c r="O15" s="52"/>
      <c r="P15" s="52" t="s">
        <v>3</v>
      </c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88"/>
    </row>
    <row r="16" spans="1:27" s="28" customFormat="1" ht="16.899999999999999" customHeight="1" x14ac:dyDescent="0.2">
      <c r="A16" s="89" t="s">
        <v>132</v>
      </c>
      <c r="B16" s="52"/>
      <c r="C16" s="52"/>
      <c r="D16" s="52"/>
      <c r="E16" s="52"/>
      <c r="F16" s="52"/>
      <c r="G16" s="52"/>
      <c r="H16" s="52"/>
      <c r="I16" s="52"/>
      <c r="J16" s="75"/>
      <c r="K16" s="168">
        <v>1000</v>
      </c>
      <c r="L16" s="168"/>
      <c r="M16" s="52"/>
      <c r="N16" s="52"/>
      <c r="O16" s="52"/>
      <c r="P16" s="52" t="s">
        <v>125</v>
      </c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88"/>
    </row>
    <row r="17" spans="1:27" s="69" customFormat="1" ht="16.899999999999999" customHeight="1" x14ac:dyDescent="0.2">
      <c r="A17" s="119"/>
      <c r="B17" s="103"/>
      <c r="C17" s="103"/>
      <c r="D17" s="103"/>
      <c r="E17" s="103"/>
      <c r="F17" s="103"/>
      <c r="G17" s="103"/>
      <c r="H17" s="103"/>
      <c r="I17" s="103"/>
      <c r="J17" s="74"/>
      <c r="K17" s="120"/>
      <c r="L17" s="120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21"/>
    </row>
    <row r="18" spans="1:27" s="28" customFormat="1" ht="13.9" customHeight="1" x14ac:dyDescent="0.2">
      <c r="A18" s="93" t="s">
        <v>120</v>
      </c>
      <c r="B18" s="52"/>
      <c r="C18" s="52"/>
      <c r="D18" s="52"/>
      <c r="E18" s="52"/>
      <c r="F18" s="52"/>
      <c r="G18" s="52"/>
      <c r="H18" s="52"/>
      <c r="I18" s="52"/>
      <c r="J18" s="75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88"/>
    </row>
    <row r="19" spans="1:27" s="28" customFormat="1" ht="13.9" customHeight="1" x14ac:dyDescent="0.2">
      <c r="A19" s="93"/>
      <c r="B19" s="52"/>
      <c r="C19" s="52"/>
      <c r="D19" s="52"/>
      <c r="E19" s="52"/>
      <c r="F19" s="52"/>
      <c r="G19" s="52"/>
      <c r="H19" s="52"/>
      <c r="I19" s="52"/>
      <c r="J19" s="75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88"/>
    </row>
    <row r="20" spans="1:27" s="28" customFormat="1" ht="13.9" customHeight="1" x14ac:dyDescent="0.2">
      <c r="A20" s="89" t="s">
        <v>130</v>
      </c>
      <c r="B20" s="52"/>
      <c r="C20" s="52"/>
      <c r="D20" s="52"/>
      <c r="E20" s="52"/>
      <c r="F20" s="52"/>
      <c r="G20" s="52"/>
      <c r="H20" s="52"/>
      <c r="I20" s="52"/>
      <c r="J20" s="75" t="s">
        <v>79</v>
      </c>
      <c r="K20" s="173">
        <f>(3.1428*(K7^2-K10^2)/4)*7.85*9.81/1000</f>
        <v>53.362265655961629</v>
      </c>
      <c r="L20" s="173"/>
      <c r="M20" s="52"/>
      <c r="N20" s="52"/>
      <c r="O20" s="52"/>
      <c r="P20" s="52" t="s">
        <v>25</v>
      </c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88"/>
    </row>
    <row r="21" spans="1:27" s="28" customFormat="1" ht="13.9" customHeight="1" x14ac:dyDescent="0.2">
      <c r="A21" s="93"/>
      <c r="B21" s="52"/>
      <c r="C21" s="52"/>
      <c r="D21" s="52"/>
      <c r="E21" s="52"/>
      <c r="F21" s="52"/>
      <c r="G21" s="52"/>
      <c r="H21" s="52"/>
      <c r="I21" s="52"/>
      <c r="J21" s="75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88"/>
    </row>
    <row r="22" spans="1:27" s="28" customFormat="1" ht="13.9" customHeight="1" x14ac:dyDescent="0.2">
      <c r="A22" s="89" t="s">
        <v>131</v>
      </c>
      <c r="B22" s="52"/>
      <c r="C22" s="52"/>
      <c r="D22" s="52"/>
      <c r="E22" s="52"/>
      <c r="F22" s="52"/>
      <c r="G22" s="52"/>
      <c r="H22" s="52"/>
      <c r="I22" s="52"/>
      <c r="J22" s="75" t="s">
        <v>79</v>
      </c>
      <c r="K22" s="173">
        <f>(3.1428*(K7+K15)*K15)*K14*9.81/1000000</f>
        <v>25.504835552999999</v>
      </c>
      <c r="L22" s="173"/>
      <c r="M22" s="52"/>
      <c r="N22" s="52"/>
      <c r="O22" s="52"/>
      <c r="P22" s="52" t="s">
        <v>25</v>
      </c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88"/>
    </row>
    <row r="23" spans="1:27" s="28" customFormat="1" ht="13.9" customHeight="1" x14ac:dyDescent="0.2">
      <c r="A23" s="93"/>
      <c r="B23" s="52"/>
      <c r="C23" s="52"/>
      <c r="D23" s="52"/>
      <c r="E23" s="52"/>
      <c r="F23" s="52"/>
      <c r="G23" s="52"/>
      <c r="H23" s="52"/>
      <c r="I23" s="52"/>
      <c r="J23" s="75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88"/>
    </row>
    <row r="24" spans="1:27" s="28" customFormat="1" ht="13.9" customHeight="1" x14ac:dyDescent="0.2">
      <c r="A24" s="89" t="s">
        <v>128</v>
      </c>
      <c r="B24" s="52"/>
      <c r="C24" s="52"/>
      <c r="D24" s="52"/>
      <c r="E24" s="52"/>
      <c r="F24" s="52"/>
      <c r="G24" s="52"/>
      <c r="H24" s="52"/>
      <c r="I24" s="52"/>
      <c r="J24" s="75" t="s">
        <v>79</v>
      </c>
      <c r="K24" s="173">
        <f>(3.1428*K10^2/4)*K16*9.81/1000000</f>
        <v>21.228211858636797</v>
      </c>
      <c r="L24" s="173"/>
      <c r="M24" s="52"/>
      <c r="N24" s="52"/>
      <c r="O24" s="52"/>
      <c r="P24" s="52" t="s">
        <v>25</v>
      </c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88"/>
    </row>
    <row r="25" spans="1:27" s="28" customFormat="1" ht="13.9" customHeight="1" x14ac:dyDescent="0.2">
      <c r="A25" s="93"/>
      <c r="B25" s="52"/>
      <c r="C25" s="52"/>
      <c r="D25" s="52"/>
      <c r="E25" s="52"/>
      <c r="F25" s="52"/>
      <c r="G25" s="52"/>
      <c r="H25" s="52"/>
      <c r="I25" s="52"/>
      <c r="J25" s="75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88"/>
    </row>
    <row r="26" spans="1:27" s="28" customFormat="1" ht="13.9" customHeight="1" x14ac:dyDescent="0.2">
      <c r="A26" s="89" t="s">
        <v>133</v>
      </c>
      <c r="B26" s="52"/>
      <c r="C26" s="52"/>
      <c r="D26" s="52"/>
      <c r="E26" s="52"/>
      <c r="F26" s="52"/>
      <c r="G26" s="52"/>
      <c r="H26" s="52"/>
      <c r="I26" s="52" t="s">
        <v>101</v>
      </c>
      <c r="J26" s="75" t="s">
        <v>79</v>
      </c>
      <c r="K26" s="173">
        <f>K20+K22+K24</f>
        <v>100.09531306759843</v>
      </c>
      <c r="L26" s="173"/>
      <c r="M26" s="52"/>
      <c r="N26" s="52"/>
      <c r="O26" s="52"/>
      <c r="P26" s="52" t="s">
        <v>25</v>
      </c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88"/>
    </row>
    <row r="27" spans="1:27" s="28" customFormat="1" ht="13.9" customHeight="1" x14ac:dyDescent="0.2">
      <c r="A27" s="89"/>
      <c r="B27" s="52"/>
      <c r="C27" s="52"/>
      <c r="D27" s="52"/>
      <c r="E27" s="52"/>
      <c r="F27" s="52"/>
      <c r="G27" s="52"/>
      <c r="H27" s="52"/>
      <c r="I27" s="52"/>
      <c r="J27" s="75"/>
      <c r="K27" s="94"/>
      <c r="L27" s="94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88"/>
    </row>
    <row r="28" spans="1:27" s="28" customFormat="1" ht="13.9" customHeight="1" x14ac:dyDescent="0.2">
      <c r="A28" s="89"/>
      <c r="B28" s="52"/>
      <c r="C28" s="52"/>
      <c r="D28" s="52"/>
      <c r="E28" s="52"/>
      <c r="F28" s="52"/>
      <c r="G28" s="52"/>
      <c r="H28" s="52"/>
      <c r="I28" s="52"/>
      <c r="J28" s="75"/>
      <c r="K28" s="52" t="s">
        <v>83</v>
      </c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88"/>
    </row>
    <row r="29" spans="1:27" s="28" customFormat="1" ht="13.9" customHeight="1" x14ac:dyDescent="0.2">
      <c r="A29" s="89" t="s">
        <v>82</v>
      </c>
      <c r="B29" s="52"/>
      <c r="C29" s="52"/>
      <c r="D29" s="52"/>
      <c r="E29" s="52"/>
      <c r="F29" s="52"/>
      <c r="G29" s="52"/>
      <c r="H29" s="52"/>
      <c r="I29" s="52" t="s">
        <v>94</v>
      </c>
      <c r="J29" s="75" t="s">
        <v>79</v>
      </c>
      <c r="K29" s="51"/>
      <c r="L29" s="51">
        <v>64</v>
      </c>
      <c r="M29" s="51"/>
      <c r="N29" s="52"/>
      <c r="O29" s="52"/>
      <c r="P29" s="52" t="s">
        <v>95</v>
      </c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88"/>
    </row>
    <row r="30" spans="1:27" s="28" customFormat="1" ht="13.9" customHeight="1" x14ac:dyDescent="0.2">
      <c r="A30" s="89"/>
      <c r="B30" s="52"/>
      <c r="C30" s="52"/>
      <c r="D30" s="52"/>
      <c r="E30" s="52"/>
      <c r="F30" s="52"/>
      <c r="G30" s="52"/>
      <c r="H30" s="52"/>
      <c r="I30" s="52"/>
      <c r="J30" s="75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88"/>
    </row>
    <row r="31" spans="1:27" s="28" customFormat="1" ht="13.9" customHeight="1" x14ac:dyDescent="0.2">
      <c r="A31" s="89"/>
      <c r="B31" s="52"/>
      <c r="C31" s="52"/>
      <c r="D31" s="52"/>
      <c r="E31" s="52"/>
      <c r="F31" s="52"/>
      <c r="G31" s="52"/>
      <c r="H31" s="52"/>
      <c r="I31" s="52"/>
      <c r="J31" s="75" t="s">
        <v>79</v>
      </c>
      <c r="K31" s="52" t="s">
        <v>96</v>
      </c>
      <c r="L31" s="52"/>
      <c r="M31" s="170" t="str">
        <f>CONCATENATE("(",K7)</f>
        <v>(60.3</v>
      </c>
      <c r="N31" s="170"/>
      <c r="O31" s="95">
        <v>4</v>
      </c>
      <c r="P31" s="52" t="s">
        <v>6</v>
      </c>
      <c r="Q31" s="170" t="str">
        <f>CONCATENATE(K10,)</f>
        <v>52.48</v>
      </c>
      <c r="R31" s="170"/>
      <c r="S31" s="95" t="s">
        <v>141</v>
      </c>
      <c r="T31" s="52"/>
      <c r="U31" s="52"/>
      <c r="V31" s="52"/>
      <c r="W31" s="52"/>
      <c r="X31" s="52"/>
      <c r="Y31" s="52"/>
      <c r="Z31" s="52"/>
      <c r="AA31" s="88"/>
    </row>
    <row r="32" spans="1:27" s="28" customFormat="1" ht="13.9" customHeight="1" x14ac:dyDescent="0.2">
      <c r="A32" s="89"/>
      <c r="B32" s="52"/>
      <c r="C32" s="52"/>
      <c r="D32" s="52"/>
      <c r="E32" s="52"/>
      <c r="F32" s="52"/>
      <c r="G32" s="52"/>
      <c r="H32" s="52"/>
      <c r="I32" s="52"/>
      <c r="J32" s="75"/>
      <c r="K32" s="51"/>
      <c r="L32" s="51"/>
      <c r="M32" s="51"/>
      <c r="N32" s="51">
        <v>64</v>
      </c>
      <c r="O32" s="51"/>
      <c r="P32" s="51"/>
      <c r="Q32" s="51"/>
      <c r="R32" s="51"/>
      <c r="S32" s="51"/>
      <c r="T32" s="52"/>
      <c r="U32" s="52"/>
      <c r="V32" s="52"/>
      <c r="W32" s="52"/>
      <c r="X32" s="52"/>
      <c r="Y32" s="52"/>
      <c r="Z32" s="52"/>
      <c r="AA32" s="88"/>
    </row>
    <row r="33" spans="1:27" s="28" customFormat="1" ht="13.9" customHeight="1" x14ac:dyDescent="0.2">
      <c r="A33" s="89"/>
      <c r="B33" s="52"/>
      <c r="C33" s="52"/>
      <c r="D33" s="52"/>
      <c r="E33" s="52"/>
      <c r="F33" s="52"/>
      <c r="G33" s="52"/>
      <c r="H33" s="52"/>
      <c r="I33" s="52"/>
      <c r="J33" s="75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88"/>
    </row>
    <row r="34" spans="1:27" s="28" customFormat="1" ht="13.9" customHeight="1" x14ac:dyDescent="0.2">
      <c r="A34" s="89"/>
      <c r="B34" s="52"/>
      <c r="C34" s="52"/>
      <c r="D34" s="52"/>
      <c r="E34" s="52"/>
      <c r="F34" s="52"/>
      <c r="G34" s="52"/>
      <c r="H34" s="52"/>
      <c r="I34" s="52" t="s">
        <v>94</v>
      </c>
      <c r="J34" s="75" t="s">
        <v>79</v>
      </c>
      <c r="K34" s="171">
        <f>(3.143*(K7^4-K10^4))/64/10000</f>
        <v>27.677091333977401</v>
      </c>
      <c r="L34" s="171"/>
      <c r="M34" s="52"/>
      <c r="N34" s="52"/>
      <c r="O34" s="52"/>
      <c r="P34" s="52" t="s">
        <v>110</v>
      </c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88"/>
    </row>
    <row r="35" spans="1:27" s="28" customFormat="1" ht="13.9" customHeight="1" x14ac:dyDescent="0.2">
      <c r="A35" s="93" t="s">
        <v>120</v>
      </c>
      <c r="B35" s="52"/>
      <c r="C35" s="52"/>
      <c r="D35" s="52"/>
      <c r="E35" s="52"/>
      <c r="F35" s="52"/>
      <c r="G35" s="52"/>
      <c r="H35" s="52"/>
      <c r="I35" s="52"/>
      <c r="J35" s="75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88"/>
    </row>
    <row r="36" spans="1:27" s="28" customFormat="1" ht="13.9" customHeight="1" x14ac:dyDescent="0.2">
      <c r="A36" s="97" t="s">
        <v>97</v>
      </c>
      <c r="B36" s="52"/>
      <c r="C36" s="52"/>
      <c r="D36" s="52"/>
      <c r="E36" s="52"/>
      <c r="F36" s="52"/>
      <c r="G36" s="52"/>
      <c r="H36" s="52"/>
      <c r="I36" s="52"/>
      <c r="J36" s="75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88"/>
    </row>
    <row r="37" spans="1:27" s="28" customFormat="1" ht="13.9" customHeight="1" x14ac:dyDescent="0.2">
      <c r="A37" s="89"/>
      <c r="B37" s="52"/>
      <c r="C37" s="52"/>
      <c r="D37" s="52"/>
      <c r="E37" s="52"/>
      <c r="F37" s="52"/>
      <c r="G37" s="52"/>
      <c r="H37" s="52"/>
      <c r="I37" s="52"/>
      <c r="J37" s="75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88"/>
    </row>
    <row r="38" spans="1:27" s="28" customFormat="1" ht="13.9" customHeight="1" x14ac:dyDescent="0.2">
      <c r="A38" s="89"/>
      <c r="B38" s="52"/>
      <c r="C38" s="52"/>
      <c r="D38" s="52"/>
      <c r="E38" s="52"/>
      <c r="F38" s="52"/>
      <c r="G38" s="52"/>
      <c r="H38" s="52"/>
      <c r="I38" s="52"/>
      <c r="J38" s="75"/>
      <c r="K38" s="75" t="s">
        <v>85</v>
      </c>
      <c r="L38" s="175" t="s">
        <v>100</v>
      </c>
      <c r="M38" s="52" t="s">
        <v>102</v>
      </c>
      <c r="N38" s="52"/>
      <c r="O38" s="175" t="s">
        <v>103</v>
      </c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88"/>
    </row>
    <row r="39" spans="1:27" s="28" customFormat="1" ht="13.9" customHeight="1" x14ac:dyDescent="0.2">
      <c r="A39" s="89" t="s">
        <v>98</v>
      </c>
      <c r="B39" s="52"/>
      <c r="C39" s="52"/>
      <c r="D39" s="52"/>
      <c r="E39" s="52"/>
      <c r="F39" s="52"/>
      <c r="G39" s="52"/>
      <c r="H39" s="52"/>
      <c r="I39" s="52" t="s">
        <v>99</v>
      </c>
      <c r="J39" s="75" t="s">
        <v>79</v>
      </c>
      <c r="K39" s="53" t="s">
        <v>94</v>
      </c>
      <c r="L39" s="175"/>
      <c r="M39" s="176">
        <v>240</v>
      </c>
      <c r="N39" s="176"/>
      <c r="O39" s="175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88"/>
    </row>
    <row r="40" spans="1:27" s="28" customFormat="1" ht="13.9" customHeight="1" x14ac:dyDescent="0.2">
      <c r="A40" s="89"/>
      <c r="B40" s="52"/>
      <c r="C40" s="52"/>
      <c r="D40" s="52"/>
      <c r="E40" s="52"/>
      <c r="F40" s="52"/>
      <c r="G40" s="52"/>
      <c r="H40" s="52"/>
      <c r="I40" s="52"/>
      <c r="J40" s="75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88"/>
    </row>
    <row r="41" spans="1:27" s="28" customFormat="1" ht="13.9" customHeight="1" x14ac:dyDescent="0.2">
      <c r="A41" s="89"/>
      <c r="B41" s="52"/>
      <c r="C41" s="52"/>
      <c r="D41" s="52"/>
      <c r="E41" s="52"/>
      <c r="F41" s="52"/>
      <c r="G41" s="52"/>
      <c r="H41" s="52"/>
      <c r="I41" s="52"/>
      <c r="J41" s="98">
        <v>2</v>
      </c>
      <c r="K41" s="174" t="s">
        <v>109</v>
      </c>
      <c r="L41" s="58" t="s">
        <v>107</v>
      </c>
      <c r="M41" s="55"/>
      <c r="N41" s="56" t="s">
        <v>99</v>
      </c>
      <c r="O41" s="56" t="s">
        <v>108</v>
      </c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88"/>
    </row>
    <row r="42" spans="1:27" s="28" customFormat="1" ht="13.9" customHeight="1" x14ac:dyDescent="0.2">
      <c r="A42" s="89" t="s">
        <v>104</v>
      </c>
      <c r="B42" s="52"/>
      <c r="C42" s="52"/>
      <c r="D42" s="52"/>
      <c r="E42" s="52"/>
      <c r="F42" s="52"/>
      <c r="G42" s="52"/>
      <c r="H42" s="52"/>
      <c r="I42" s="52" t="s">
        <v>105</v>
      </c>
      <c r="J42" s="75" t="s">
        <v>79</v>
      </c>
      <c r="K42" s="174"/>
      <c r="L42" s="54" t="s">
        <v>85</v>
      </c>
      <c r="M42" s="53" t="s">
        <v>106</v>
      </c>
      <c r="N42" s="51" t="s">
        <v>101</v>
      </c>
      <c r="O42" s="51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88"/>
    </row>
    <row r="43" spans="1:27" s="28" customFormat="1" ht="13.9" customHeight="1" x14ac:dyDescent="0.2">
      <c r="A43" s="89"/>
      <c r="B43" s="52"/>
      <c r="C43" s="52"/>
      <c r="D43" s="52"/>
      <c r="E43" s="52"/>
      <c r="F43" s="52"/>
      <c r="G43" s="52"/>
      <c r="H43" s="52"/>
      <c r="I43" s="52"/>
      <c r="J43" s="75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88"/>
    </row>
    <row r="44" spans="1:27" s="28" customFormat="1" ht="13.9" customHeight="1" x14ac:dyDescent="0.2">
      <c r="A44" s="89"/>
      <c r="B44" s="52"/>
      <c r="C44" s="52"/>
      <c r="D44" s="52"/>
      <c r="E44" s="52"/>
      <c r="F44" s="52"/>
      <c r="G44" s="52"/>
      <c r="H44" s="52"/>
      <c r="I44" s="52"/>
      <c r="J44" s="75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88"/>
    </row>
    <row r="45" spans="1:27" s="28" customFormat="1" ht="13.9" customHeight="1" x14ac:dyDescent="0.2">
      <c r="A45" s="89"/>
      <c r="B45" s="52"/>
      <c r="C45" s="52"/>
      <c r="D45" s="52"/>
      <c r="E45" s="52"/>
      <c r="F45" s="52"/>
      <c r="G45" s="52"/>
      <c r="H45" s="52"/>
      <c r="I45" s="52"/>
      <c r="J45" s="98">
        <v>2</v>
      </c>
      <c r="K45" s="174" t="s">
        <v>109</v>
      </c>
      <c r="L45" s="58" t="s">
        <v>107</v>
      </c>
      <c r="M45" s="55"/>
      <c r="N45" s="56">
        <f>K13</f>
        <v>40</v>
      </c>
      <c r="O45" s="55" t="s">
        <v>106</v>
      </c>
      <c r="P45" s="186">
        <f>K34</f>
        <v>27.677091333977401</v>
      </c>
      <c r="Q45" s="186"/>
      <c r="R45" s="52"/>
      <c r="S45" s="52"/>
      <c r="T45" s="52"/>
      <c r="U45" s="52"/>
      <c r="V45" s="52"/>
      <c r="W45" s="52"/>
      <c r="X45" s="52"/>
      <c r="Y45" s="52"/>
      <c r="Z45" s="52"/>
      <c r="AA45" s="88"/>
    </row>
    <row r="46" spans="1:27" s="28" customFormat="1" ht="13.9" customHeight="1" x14ac:dyDescent="0.2">
      <c r="A46" s="89"/>
      <c r="B46" s="52"/>
      <c r="C46" s="52"/>
      <c r="D46" s="52"/>
      <c r="E46" s="52"/>
      <c r="F46" s="52"/>
      <c r="G46" s="52"/>
      <c r="H46" s="52"/>
      <c r="I46" s="52"/>
      <c r="J46" s="75" t="s">
        <v>79</v>
      </c>
      <c r="K46" s="174"/>
      <c r="L46" s="180">
        <f>K7</f>
        <v>60.3</v>
      </c>
      <c r="M46" s="180"/>
      <c r="N46" s="53" t="s">
        <v>106</v>
      </c>
      <c r="O46" s="181">
        <f>K26</f>
        <v>100.09531306759843</v>
      </c>
      <c r="P46" s="181"/>
      <c r="Q46" s="51"/>
      <c r="R46" s="52"/>
      <c r="S46" s="52"/>
      <c r="T46" s="52"/>
      <c r="U46" s="52"/>
      <c r="V46" s="52"/>
      <c r="W46" s="52"/>
      <c r="X46" s="52"/>
      <c r="Y46" s="52"/>
      <c r="Z46" s="52"/>
      <c r="AA46" s="88"/>
    </row>
    <row r="47" spans="1:27" s="28" customFormat="1" ht="13.9" customHeight="1" thickBot="1" x14ac:dyDescent="0.25">
      <c r="A47" s="89"/>
      <c r="B47" s="52"/>
      <c r="C47" s="52"/>
      <c r="D47" s="52"/>
      <c r="E47" s="52"/>
      <c r="F47" s="52"/>
      <c r="G47" s="52"/>
      <c r="H47" s="52"/>
      <c r="I47" s="52"/>
      <c r="J47" s="75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88"/>
    </row>
    <row r="48" spans="1:27" s="28" customFormat="1" ht="13.9" customHeight="1" thickTop="1" thickBot="1" x14ac:dyDescent="0.25">
      <c r="A48" s="89" t="s">
        <v>104</v>
      </c>
      <c r="B48" s="52"/>
      <c r="C48" s="52"/>
      <c r="D48" s="52"/>
      <c r="E48" s="52"/>
      <c r="F48" s="52"/>
      <c r="G48" s="52"/>
      <c r="H48" s="52"/>
      <c r="I48" s="64" t="s">
        <v>105</v>
      </c>
      <c r="J48" s="65" t="s">
        <v>79</v>
      </c>
      <c r="K48" s="182">
        <f>SQRT((240*K13*K34)/(K7*K26))</f>
        <v>6.634837838580756</v>
      </c>
      <c r="L48" s="182"/>
      <c r="M48" s="66" t="s">
        <v>111</v>
      </c>
      <c r="N48" s="52"/>
      <c r="O48" s="90" t="s">
        <v>112</v>
      </c>
      <c r="P48" s="52"/>
      <c r="Q48" s="52"/>
      <c r="R48" s="52"/>
      <c r="S48" s="67">
        <v>1</v>
      </c>
      <c r="T48" s="52"/>
      <c r="U48" s="52"/>
      <c r="V48" s="52"/>
      <c r="W48" s="52"/>
      <c r="X48" s="52"/>
      <c r="Y48" s="52"/>
      <c r="Z48" s="52"/>
      <c r="AA48" s="88"/>
    </row>
    <row r="49" spans="1:27" s="28" customFormat="1" ht="13.9" customHeight="1" thickTop="1" x14ac:dyDescent="0.2">
      <c r="A49" s="89"/>
      <c r="B49" s="52"/>
      <c r="C49" s="52"/>
      <c r="D49" s="52"/>
      <c r="E49" s="52"/>
      <c r="F49" s="52"/>
      <c r="G49" s="52"/>
      <c r="H49" s="52"/>
      <c r="I49" s="52"/>
      <c r="J49" s="75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88"/>
    </row>
    <row r="50" spans="1:27" s="28" customFormat="1" ht="13.9" customHeight="1" thickTop="1" x14ac:dyDescent="0.2">
      <c r="A50" s="93" t="s">
        <v>120</v>
      </c>
      <c r="B50" s="52"/>
      <c r="C50" s="52"/>
      <c r="D50" s="52"/>
      <c r="E50" s="52"/>
      <c r="F50" s="52"/>
      <c r="G50" s="52"/>
      <c r="H50" s="52"/>
      <c r="I50" s="52"/>
      <c r="J50" s="75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88"/>
    </row>
    <row r="51" spans="1:27" s="28" customFormat="1" ht="13.9" customHeight="1" x14ac:dyDescent="0.2">
      <c r="A51" s="93"/>
      <c r="B51" s="52"/>
      <c r="C51" s="52"/>
      <c r="D51" s="52"/>
      <c r="E51" s="52"/>
      <c r="F51" s="52"/>
      <c r="G51" s="52"/>
      <c r="H51" s="52"/>
      <c r="I51" s="52"/>
      <c r="J51" s="75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88"/>
    </row>
    <row r="52" spans="1:27" s="28" customFormat="1" ht="13.9" customHeight="1" x14ac:dyDescent="0.2">
      <c r="A52" s="89" t="s">
        <v>113</v>
      </c>
      <c r="B52" s="52"/>
      <c r="C52" s="52"/>
      <c r="D52" s="52"/>
      <c r="E52" s="52"/>
      <c r="F52" s="52"/>
      <c r="G52" s="52"/>
      <c r="H52" s="52"/>
      <c r="I52" s="100" t="s">
        <v>114</v>
      </c>
      <c r="J52" s="75" t="s">
        <v>79</v>
      </c>
      <c r="K52" s="52">
        <v>10</v>
      </c>
      <c r="L52" s="101">
        <v>5</v>
      </c>
      <c r="M52" s="175" t="s">
        <v>100</v>
      </c>
      <c r="N52" s="52" t="s">
        <v>116</v>
      </c>
      <c r="O52" s="52"/>
      <c r="P52" s="175" t="s">
        <v>103</v>
      </c>
      <c r="Q52" s="102"/>
      <c r="R52" s="52"/>
      <c r="S52" s="52"/>
      <c r="T52" s="52"/>
      <c r="U52" s="52"/>
      <c r="V52" s="52"/>
      <c r="W52" s="52"/>
      <c r="X52" s="52"/>
      <c r="Y52" s="52"/>
      <c r="Z52" s="52"/>
      <c r="AA52" s="88"/>
    </row>
    <row r="53" spans="1:27" s="28" customFormat="1" ht="13.9" customHeight="1" x14ac:dyDescent="0.2">
      <c r="A53" s="89"/>
      <c r="B53" s="52"/>
      <c r="C53" s="52"/>
      <c r="D53" s="52"/>
      <c r="E53" s="52"/>
      <c r="F53" s="52"/>
      <c r="G53" s="52"/>
      <c r="H53" s="52"/>
      <c r="I53" s="52"/>
      <c r="J53" s="75"/>
      <c r="K53" s="183" t="s">
        <v>115</v>
      </c>
      <c r="L53" s="183"/>
      <c r="M53" s="175"/>
      <c r="N53" s="176">
        <v>384</v>
      </c>
      <c r="O53" s="176"/>
      <c r="P53" s="175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88"/>
    </row>
    <row r="54" spans="1:27" s="28" customFormat="1" ht="13.9" customHeight="1" x14ac:dyDescent="0.2">
      <c r="A54" s="89"/>
      <c r="B54" s="52"/>
      <c r="C54" s="52"/>
      <c r="D54" s="52"/>
      <c r="E54" s="52"/>
      <c r="F54" s="52"/>
      <c r="G54" s="52"/>
      <c r="H54" s="52"/>
      <c r="I54" s="52"/>
      <c r="J54" s="75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88"/>
    </row>
    <row r="55" spans="1:27" s="28" customFormat="1" ht="13.9" customHeight="1" x14ac:dyDescent="0.2">
      <c r="A55" s="89"/>
      <c r="B55" s="52"/>
      <c r="C55" s="52"/>
      <c r="D55" s="52"/>
      <c r="E55" s="52"/>
      <c r="F55" s="52"/>
      <c r="G55" s="52"/>
      <c r="H55" s="52"/>
      <c r="I55" s="52"/>
      <c r="J55" s="98">
        <v>4</v>
      </c>
      <c r="K55" s="174" t="s">
        <v>109</v>
      </c>
      <c r="L55" s="56" t="s">
        <v>117</v>
      </c>
      <c r="M55" s="56"/>
      <c r="N55" s="63" t="s">
        <v>114</v>
      </c>
      <c r="O55" s="55" t="s">
        <v>106</v>
      </c>
      <c r="P55" s="58" t="s">
        <v>115</v>
      </c>
      <c r="Q55" s="56"/>
      <c r="R55" s="52"/>
      <c r="S55" s="52"/>
      <c r="T55" s="52"/>
      <c r="U55" s="52"/>
      <c r="V55" s="52"/>
      <c r="W55" s="52"/>
      <c r="X55" s="52"/>
      <c r="Y55" s="52"/>
      <c r="Z55" s="52"/>
      <c r="AA55" s="88"/>
    </row>
    <row r="56" spans="1:27" s="28" customFormat="1" ht="13.9" customHeight="1" x14ac:dyDescent="0.2">
      <c r="A56" s="89" t="s">
        <v>104</v>
      </c>
      <c r="B56" s="52"/>
      <c r="C56" s="52"/>
      <c r="D56" s="52"/>
      <c r="E56" s="52"/>
      <c r="F56" s="52"/>
      <c r="G56" s="52"/>
      <c r="H56" s="52"/>
      <c r="I56" s="52" t="s">
        <v>105</v>
      </c>
      <c r="J56" s="75" t="s">
        <v>79</v>
      </c>
      <c r="K56" s="174"/>
      <c r="L56" s="51"/>
      <c r="M56" s="51" t="s">
        <v>101</v>
      </c>
      <c r="N56" s="53" t="s">
        <v>106</v>
      </c>
      <c r="O56" s="51">
        <v>10</v>
      </c>
      <c r="P56" s="62">
        <v>5</v>
      </c>
      <c r="Q56" s="51"/>
      <c r="R56" s="52"/>
      <c r="S56" s="52"/>
      <c r="T56" s="52"/>
      <c r="U56" s="52"/>
      <c r="V56" s="52"/>
      <c r="W56" s="52"/>
      <c r="X56" s="52"/>
      <c r="Y56" s="52"/>
      <c r="Z56" s="52"/>
      <c r="AA56" s="88"/>
    </row>
    <row r="57" spans="1:27" s="28" customFormat="1" ht="13.9" customHeight="1" x14ac:dyDescent="0.2">
      <c r="A57" s="89"/>
      <c r="B57" s="52"/>
      <c r="C57" s="52"/>
      <c r="D57" s="52"/>
      <c r="E57" s="52"/>
      <c r="F57" s="52"/>
      <c r="G57" s="52"/>
      <c r="H57" s="52"/>
      <c r="I57" s="52"/>
      <c r="J57" s="75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88"/>
    </row>
    <row r="58" spans="1:27" s="28" customFormat="1" ht="13.9" customHeight="1" x14ac:dyDescent="0.2">
      <c r="A58" s="89"/>
      <c r="B58" s="52"/>
      <c r="C58" s="52"/>
      <c r="D58" s="52"/>
      <c r="E58" s="52"/>
      <c r="F58" s="52"/>
      <c r="G58" s="52"/>
      <c r="H58" s="52"/>
      <c r="I58" s="52"/>
      <c r="J58" s="98">
        <v>4</v>
      </c>
      <c r="K58" s="174" t="s">
        <v>109</v>
      </c>
      <c r="L58" s="56" t="s">
        <v>117</v>
      </c>
      <c r="M58" s="56"/>
      <c r="N58" s="63">
        <f>K12</f>
        <v>10</v>
      </c>
      <c r="O58" s="55" t="s">
        <v>106</v>
      </c>
      <c r="P58" s="185">
        <f>K11</f>
        <v>210000</v>
      </c>
      <c r="Q58" s="185"/>
      <c r="R58" s="55" t="s">
        <v>106</v>
      </c>
      <c r="S58" s="176">
        <f>K34</f>
        <v>27.677091333977401</v>
      </c>
      <c r="T58" s="176"/>
      <c r="U58" s="52"/>
      <c r="V58" s="52"/>
      <c r="W58" s="52"/>
      <c r="X58" s="52"/>
      <c r="Y58" s="52"/>
      <c r="Z58" s="52"/>
      <c r="AA58" s="88"/>
    </row>
    <row r="59" spans="1:27" s="28" customFormat="1" ht="13.9" customHeight="1" x14ac:dyDescent="0.2">
      <c r="A59" s="89"/>
      <c r="B59" s="52"/>
      <c r="C59" s="52"/>
      <c r="D59" s="52"/>
      <c r="E59" s="52"/>
      <c r="F59" s="52"/>
      <c r="G59" s="52"/>
      <c r="H59" s="52"/>
      <c r="I59" s="52"/>
      <c r="J59" s="75" t="s">
        <v>79</v>
      </c>
      <c r="K59" s="174"/>
      <c r="L59" s="181">
        <f>K26</f>
        <v>100.09531306759843</v>
      </c>
      <c r="M59" s="181"/>
      <c r="N59" s="53" t="s">
        <v>106</v>
      </c>
      <c r="O59" s="51">
        <v>10</v>
      </c>
      <c r="P59" s="62">
        <v>5</v>
      </c>
      <c r="Q59" s="51"/>
      <c r="R59" s="51"/>
      <c r="S59" s="51"/>
      <c r="T59" s="51"/>
      <c r="U59" s="52"/>
      <c r="V59" s="52"/>
      <c r="W59" s="52"/>
      <c r="X59" s="52"/>
      <c r="Y59" s="52"/>
      <c r="Z59" s="52"/>
      <c r="AA59" s="88"/>
    </row>
    <row r="60" spans="1:27" s="28" customFormat="1" ht="13.9" customHeight="1" thickBot="1" x14ac:dyDescent="0.25">
      <c r="A60" s="89"/>
      <c r="B60" s="52"/>
      <c r="C60" s="52"/>
      <c r="D60" s="52"/>
      <c r="E60" s="52"/>
      <c r="F60" s="52"/>
      <c r="G60" s="52"/>
      <c r="H60" s="52"/>
      <c r="I60" s="52"/>
      <c r="J60" s="75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88"/>
    </row>
    <row r="61" spans="1:27" s="28" customFormat="1" ht="13.9" customHeight="1" thickTop="1" thickBot="1" x14ac:dyDescent="0.25">
      <c r="A61" s="89"/>
      <c r="B61" s="52"/>
      <c r="C61" s="52"/>
      <c r="D61" s="52"/>
      <c r="E61" s="52"/>
      <c r="F61" s="52"/>
      <c r="G61" s="52"/>
      <c r="H61" s="52"/>
      <c r="I61" s="64" t="s">
        <v>105</v>
      </c>
      <c r="J61" s="65" t="s">
        <v>79</v>
      </c>
      <c r="K61" s="182">
        <f>((384*K12*K11*K34)/(K26*10^5))^(1/4)</f>
        <v>6.871701817028331</v>
      </c>
      <c r="L61" s="182"/>
      <c r="M61" s="66" t="s">
        <v>111</v>
      </c>
      <c r="N61" s="52"/>
      <c r="O61" s="90" t="s">
        <v>112</v>
      </c>
      <c r="P61" s="52"/>
      <c r="Q61" s="52"/>
      <c r="R61" s="52"/>
      <c r="S61" s="67">
        <v>2</v>
      </c>
      <c r="T61" s="52"/>
      <c r="U61" s="52"/>
      <c r="V61" s="52"/>
      <c r="W61" s="52"/>
      <c r="X61" s="52"/>
      <c r="Y61" s="52"/>
      <c r="Z61" s="52"/>
      <c r="AA61" s="88"/>
    </row>
    <row r="62" spans="1:27" s="28" customFormat="1" ht="13.9" customHeight="1" thickTop="1" x14ac:dyDescent="0.2">
      <c r="A62" s="89"/>
      <c r="B62" s="52"/>
      <c r="C62" s="52"/>
      <c r="D62" s="52"/>
      <c r="E62" s="52"/>
      <c r="F62" s="52"/>
      <c r="G62" s="52"/>
      <c r="H62" s="103"/>
      <c r="I62" s="70"/>
      <c r="J62" s="71"/>
      <c r="K62" s="72"/>
      <c r="L62" s="72"/>
      <c r="M62" s="73"/>
      <c r="N62" s="103"/>
      <c r="O62" s="104"/>
      <c r="P62" s="103"/>
      <c r="Q62" s="103"/>
      <c r="R62" s="103"/>
      <c r="S62" s="74"/>
      <c r="T62" s="103"/>
      <c r="U62" s="103"/>
      <c r="V62" s="103"/>
      <c r="W62" s="103"/>
      <c r="X62" s="52"/>
      <c r="Y62" s="52"/>
      <c r="Z62" s="52"/>
      <c r="AA62" s="88"/>
    </row>
    <row r="63" spans="1:27" s="28" customFormat="1" ht="13.9" customHeight="1" thickBot="1" x14ac:dyDescent="0.25">
      <c r="A63" s="89"/>
      <c r="B63" s="52"/>
      <c r="C63" s="52"/>
      <c r="D63" s="52"/>
      <c r="E63" s="52"/>
      <c r="F63" s="52"/>
      <c r="G63" s="52"/>
      <c r="H63" s="52"/>
      <c r="I63" s="52"/>
      <c r="J63" s="75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88"/>
    </row>
    <row r="64" spans="1:27" s="28" customFormat="1" ht="13.9" customHeight="1" thickTop="1" thickBot="1" x14ac:dyDescent="0.25">
      <c r="A64" s="89" t="s">
        <v>104</v>
      </c>
      <c r="B64" s="52"/>
      <c r="C64" s="52"/>
      <c r="D64" s="52"/>
      <c r="E64" s="52"/>
      <c r="F64" s="52"/>
      <c r="G64" s="52"/>
      <c r="H64" s="52"/>
      <c r="I64" s="52" t="s">
        <v>105</v>
      </c>
      <c r="J64" s="75" t="s">
        <v>79</v>
      </c>
      <c r="K64" s="52" t="s">
        <v>118</v>
      </c>
      <c r="L64" s="52"/>
      <c r="M64" s="67">
        <v>1</v>
      </c>
      <c r="N64" s="177" t="s">
        <v>119</v>
      </c>
      <c r="O64" s="178"/>
      <c r="P64" s="67">
        <v>2</v>
      </c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88"/>
    </row>
    <row r="65" spans="1:27" s="28" customFormat="1" ht="13.9" customHeight="1" thickTop="1" thickBot="1" x14ac:dyDescent="0.25">
      <c r="A65" s="89"/>
      <c r="B65" s="52"/>
      <c r="C65" s="52"/>
      <c r="D65" s="52"/>
      <c r="E65" s="52"/>
      <c r="F65" s="52"/>
      <c r="G65" s="52"/>
      <c r="H65" s="52"/>
      <c r="I65" s="52"/>
      <c r="J65" s="75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88"/>
    </row>
    <row r="66" spans="1:27" s="28" customFormat="1" ht="13.9" customHeight="1" thickTop="1" thickBot="1" x14ac:dyDescent="0.25">
      <c r="A66" s="89"/>
      <c r="B66" s="52"/>
      <c r="C66" s="52"/>
      <c r="D66" s="52"/>
      <c r="E66" s="52"/>
      <c r="F66" s="52"/>
      <c r="G66" s="52"/>
      <c r="H66" s="52"/>
      <c r="I66" s="59" t="s">
        <v>105</v>
      </c>
      <c r="J66" s="60" t="s">
        <v>79</v>
      </c>
      <c r="K66" s="179">
        <f>MIN(K61,K48)</f>
        <v>6.634837838580756</v>
      </c>
      <c r="L66" s="179"/>
      <c r="M66" s="61" t="s">
        <v>111</v>
      </c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88"/>
    </row>
    <row r="67" spans="1:27" s="28" customFormat="1" ht="13.9" customHeight="1" thickTop="1" x14ac:dyDescent="0.2">
      <c r="A67" s="89"/>
      <c r="B67" s="52"/>
      <c r="C67" s="52"/>
      <c r="D67" s="52"/>
      <c r="E67" s="52"/>
      <c r="F67" s="52"/>
      <c r="G67" s="52"/>
      <c r="H67" s="52"/>
      <c r="I67" s="52"/>
      <c r="J67" s="75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88"/>
    </row>
    <row r="68" spans="1:27" s="28" customFormat="1" ht="13.9" customHeight="1" x14ac:dyDescent="0.2">
      <c r="A68" s="89"/>
      <c r="B68" s="52"/>
      <c r="C68" s="52"/>
      <c r="D68" s="52"/>
      <c r="E68" s="52"/>
      <c r="F68" s="52"/>
      <c r="G68" s="52"/>
      <c r="H68" s="52"/>
      <c r="I68" s="52"/>
      <c r="J68" s="75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88"/>
    </row>
    <row r="69" spans="1:27" s="28" customFormat="1" ht="13.9" customHeight="1" x14ac:dyDescent="0.2">
      <c r="A69" s="105" t="s">
        <v>134</v>
      </c>
      <c r="B69" s="52"/>
      <c r="C69" s="52"/>
      <c r="D69" s="52"/>
      <c r="E69" s="52"/>
      <c r="F69" s="52"/>
      <c r="G69" s="52"/>
      <c r="H69" s="52"/>
      <c r="I69" s="52"/>
      <c r="J69" s="75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88"/>
    </row>
    <row r="70" spans="1:27" s="28" customFormat="1" ht="13.9" customHeight="1" x14ac:dyDescent="0.2">
      <c r="A70" s="89"/>
      <c r="B70" s="52"/>
      <c r="C70" s="52"/>
      <c r="D70" s="52"/>
      <c r="E70" s="52"/>
      <c r="F70" s="52"/>
      <c r="G70" s="52"/>
      <c r="H70" s="52"/>
      <c r="I70" s="52"/>
      <c r="J70" s="75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88"/>
    </row>
    <row r="71" spans="1:27" s="28" customFormat="1" ht="13.9" customHeight="1" x14ac:dyDescent="0.2">
      <c r="A71" s="89"/>
      <c r="B71" s="52"/>
      <c r="C71" s="52"/>
      <c r="D71" s="52"/>
      <c r="E71" s="52"/>
      <c r="F71" s="52"/>
      <c r="G71" s="52"/>
      <c r="H71" s="52"/>
      <c r="I71" s="52"/>
      <c r="J71" s="75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88"/>
    </row>
    <row r="72" spans="1:27" s="28" customFormat="1" ht="13.9" customHeight="1" x14ac:dyDescent="0.2">
      <c r="A72" s="89"/>
      <c r="B72" s="52"/>
      <c r="C72" s="52"/>
      <c r="D72" s="52"/>
      <c r="E72" s="52"/>
      <c r="F72" s="52"/>
      <c r="G72" s="52"/>
      <c r="H72" s="52"/>
      <c r="I72" s="52"/>
      <c r="J72" s="75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88"/>
    </row>
    <row r="73" spans="1:27" s="28" customFormat="1" ht="13.9" customHeight="1" x14ac:dyDescent="0.2">
      <c r="A73" s="89"/>
      <c r="B73" s="52"/>
      <c r="C73" s="52"/>
      <c r="D73" s="52"/>
      <c r="E73" s="52"/>
      <c r="F73" s="52"/>
      <c r="G73" s="52"/>
      <c r="H73" s="52"/>
      <c r="I73" s="52"/>
      <c r="J73" s="75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88"/>
    </row>
    <row r="74" spans="1:27" s="28" customFormat="1" ht="13.9" customHeight="1" x14ac:dyDescent="0.2">
      <c r="A74" s="89"/>
      <c r="B74" s="52"/>
      <c r="C74" s="52"/>
      <c r="D74" s="52"/>
      <c r="E74" s="52"/>
      <c r="F74" s="52"/>
      <c r="G74" s="52"/>
      <c r="H74" s="52"/>
      <c r="I74" s="52"/>
      <c r="J74" s="75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88"/>
    </row>
    <row r="75" spans="1:27" s="28" customFormat="1" ht="13.9" customHeight="1" x14ac:dyDescent="0.2">
      <c r="A75" s="89"/>
      <c r="B75" s="52"/>
      <c r="C75" s="52"/>
      <c r="D75" s="52"/>
      <c r="E75" s="52"/>
      <c r="F75" s="52"/>
      <c r="G75" s="52"/>
      <c r="H75" s="52"/>
      <c r="I75" s="52"/>
      <c r="J75" s="75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88"/>
    </row>
    <row r="76" spans="1:27" s="28" customFormat="1" ht="13.9" customHeight="1" x14ac:dyDescent="0.2">
      <c r="A76" s="89"/>
      <c r="B76" s="52"/>
      <c r="C76" s="52"/>
      <c r="D76" s="52"/>
      <c r="E76" s="52"/>
      <c r="F76" s="52"/>
      <c r="G76" s="52"/>
      <c r="H76" s="52"/>
      <c r="I76" s="52"/>
      <c r="J76" s="75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88"/>
    </row>
    <row r="77" spans="1:27" s="28" customFormat="1" ht="13.9" customHeight="1" x14ac:dyDescent="0.2">
      <c r="A77" s="89"/>
      <c r="B77" s="52"/>
      <c r="C77" s="52"/>
      <c r="D77" s="52"/>
      <c r="E77" s="52"/>
      <c r="F77" s="52"/>
      <c r="G77" s="52"/>
      <c r="H77" s="52"/>
      <c r="I77" s="52"/>
      <c r="J77" s="75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88"/>
    </row>
    <row r="78" spans="1:27" s="28" customFormat="1" ht="13.9" customHeight="1" x14ac:dyDescent="0.2">
      <c r="A78" s="89"/>
      <c r="B78" s="52"/>
      <c r="C78" s="52"/>
      <c r="D78" s="52"/>
      <c r="E78" s="52"/>
      <c r="F78" s="52"/>
      <c r="G78" s="52"/>
      <c r="H78" s="52"/>
      <c r="I78" s="52"/>
      <c r="J78" s="75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88"/>
    </row>
    <row r="79" spans="1:27" s="28" customFormat="1" ht="13.9" customHeight="1" x14ac:dyDescent="0.2">
      <c r="A79" s="89"/>
      <c r="B79" s="52"/>
      <c r="C79" s="52"/>
      <c r="D79" s="52"/>
      <c r="E79" s="52"/>
      <c r="F79" s="52"/>
      <c r="G79" s="52"/>
      <c r="H79" s="52"/>
      <c r="I79" s="52"/>
      <c r="J79" s="75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88"/>
    </row>
    <row r="80" spans="1:27" s="28" customFormat="1" ht="13.9" customHeight="1" x14ac:dyDescent="0.2">
      <c r="A80" s="89"/>
      <c r="B80" s="52"/>
      <c r="C80" s="52"/>
      <c r="D80" s="52"/>
      <c r="E80" s="52"/>
      <c r="F80" s="52"/>
      <c r="G80" s="52"/>
      <c r="H80" s="52"/>
      <c r="I80" s="52"/>
      <c r="J80" s="75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88"/>
    </row>
    <row r="81" spans="1:27" s="28" customFormat="1" ht="13.9" customHeight="1" x14ac:dyDescent="0.2">
      <c r="A81" s="89"/>
      <c r="B81" s="52"/>
      <c r="C81" s="52"/>
      <c r="D81" s="52"/>
      <c r="E81" s="52"/>
      <c r="F81" s="52"/>
      <c r="G81" s="52"/>
      <c r="H81" s="52"/>
      <c r="I81" s="52"/>
      <c r="J81" s="75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88"/>
    </row>
    <row r="82" spans="1:27" s="68" customFormat="1" ht="25.15" customHeight="1" x14ac:dyDescent="0.2">
      <c r="A82" s="105" t="s">
        <v>121</v>
      </c>
      <c r="B82" s="106"/>
      <c r="C82" s="106"/>
      <c r="D82" s="106"/>
      <c r="E82" s="106"/>
      <c r="F82" s="106"/>
      <c r="G82" s="106"/>
      <c r="H82" s="106"/>
      <c r="I82" s="106"/>
      <c r="J82" s="107"/>
      <c r="K82" s="106"/>
      <c r="L82" s="106"/>
      <c r="M82" s="108"/>
      <c r="N82" s="106" t="s">
        <v>79</v>
      </c>
      <c r="O82" s="109">
        <v>6.6</v>
      </c>
      <c r="P82" s="110" t="s">
        <v>135</v>
      </c>
      <c r="Q82" s="111">
        <f>K66</f>
        <v>6.634837838580756</v>
      </c>
      <c r="R82" s="108"/>
      <c r="S82" s="106" t="s">
        <v>122</v>
      </c>
      <c r="T82" s="106"/>
      <c r="U82" s="108"/>
      <c r="V82" s="108"/>
      <c r="W82" s="108"/>
      <c r="X82" s="108"/>
      <c r="Y82" s="108"/>
      <c r="Z82" s="108"/>
      <c r="AA82" s="112"/>
    </row>
    <row r="83" spans="1:27" s="28" customFormat="1" ht="13.9" customHeight="1" x14ac:dyDescent="0.2">
      <c r="A83" s="89"/>
      <c r="B83" s="52"/>
      <c r="C83" s="52"/>
      <c r="D83" s="52"/>
      <c r="E83" s="52"/>
      <c r="F83" s="52"/>
      <c r="G83" s="52"/>
      <c r="H83" s="52"/>
      <c r="I83" s="52"/>
      <c r="J83" s="75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88"/>
    </row>
    <row r="84" spans="1:27" s="28" customFormat="1" ht="13.9" customHeight="1" x14ac:dyDescent="0.2">
      <c r="A84" s="89"/>
      <c r="B84" s="52"/>
      <c r="C84" s="52"/>
      <c r="D84" s="52"/>
      <c r="E84" s="52"/>
      <c r="F84" s="52"/>
      <c r="G84" s="52"/>
      <c r="H84" s="52"/>
      <c r="I84" s="52"/>
      <c r="J84" s="75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88"/>
    </row>
    <row r="85" spans="1:27" s="28" customFormat="1" ht="13.9" customHeight="1" x14ac:dyDescent="0.2">
      <c r="A85" s="89"/>
      <c r="B85" s="52"/>
      <c r="C85" s="52"/>
      <c r="D85" s="52"/>
      <c r="E85" s="52"/>
      <c r="F85" s="52"/>
      <c r="G85" s="52"/>
      <c r="H85" s="52"/>
      <c r="I85" s="52"/>
      <c r="J85" s="75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88"/>
    </row>
    <row r="86" spans="1:27" s="28" customFormat="1" ht="13.9" customHeight="1" x14ac:dyDescent="0.2">
      <c r="A86" s="89"/>
      <c r="B86" s="52"/>
      <c r="C86" s="52"/>
      <c r="D86" s="52"/>
      <c r="E86" s="52"/>
      <c r="F86" s="52"/>
      <c r="G86" s="52"/>
      <c r="H86" s="52"/>
      <c r="I86" s="52"/>
      <c r="J86" s="75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88"/>
    </row>
    <row r="87" spans="1:27" s="28" customFormat="1" ht="13.9" customHeight="1" x14ac:dyDescent="0.2">
      <c r="A87" s="89"/>
      <c r="B87" s="52"/>
      <c r="C87" s="52"/>
      <c r="D87" s="52"/>
      <c r="E87" s="52"/>
      <c r="F87" s="52"/>
      <c r="G87" s="52"/>
      <c r="H87" s="52"/>
      <c r="I87" s="52"/>
      <c r="J87" s="75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88"/>
    </row>
    <row r="88" spans="1:27" s="28" customFormat="1" ht="13.9" customHeight="1" x14ac:dyDescent="0.2">
      <c r="A88" s="89"/>
      <c r="B88" s="52"/>
      <c r="C88" s="52"/>
      <c r="D88" s="52"/>
      <c r="E88" s="52"/>
      <c r="F88" s="52"/>
      <c r="G88" s="52"/>
      <c r="H88" s="52"/>
      <c r="I88" s="52"/>
      <c r="J88" s="75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88"/>
    </row>
    <row r="89" spans="1:27" s="28" customFormat="1" ht="13.9" customHeight="1" x14ac:dyDescent="0.2">
      <c r="A89" s="89"/>
      <c r="B89" s="52"/>
      <c r="C89" s="52"/>
      <c r="D89" s="52"/>
      <c r="E89" s="52"/>
      <c r="F89" s="52"/>
      <c r="G89" s="52"/>
      <c r="H89" s="52"/>
      <c r="I89" s="52"/>
      <c r="J89" s="75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88"/>
    </row>
    <row r="90" spans="1:27" s="28" customFormat="1" ht="13.9" customHeight="1" x14ac:dyDescent="0.2">
      <c r="A90" s="89"/>
      <c r="B90" s="52"/>
      <c r="C90" s="52"/>
      <c r="D90" s="52"/>
      <c r="E90" s="52"/>
      <c r="F90" s="52"/>
      <c r="G90" s="52"/>
      <c r="H90" s="52"/>
      <c r="I90" s="52"/>
      <c r="J90" s="75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88"/>
    </row>
    <row r="91" spans="1:27" s="28" customFormat="1" ht="13.9" customHeight="1" x14ac:dyDescent="0.2">
      <c r="A91" s="89"/>
      <c r="B91" s="52"/>
      <c r="C91" s="52"/>
      <c r="D91" s="52"/>
      <c r="E91" s="52"/>
      <c r="F91" s="52"/>
      <c r="G91" s="52"/>
      <c r="H91" s="52"/>
      <c r="I91" s="52"/>
      <c r="J91" s="75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88"/>
    </row>
    <row r="92" spans="1:27" s="28" customFormat="1" ht="13.9" customHeight="1" x14ac:dyDescent="0.2">
      <c r="A92" s="89"/>
      <c r="B92" s="52"/>
      <c r="C92" s="52"/>
      <c r="D92" s="52"/>
      <c r="E92" s="52"/>
      <c r="F92" s="52"/>
      <c r="G92" s="52"/>
      <c r="H92" s="52"/>
      <c r="I92" s="52"/>
      <c r="J92" s="75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88"/>
    </row>
    <row r="93" spans="1:27" s="28" customFormat="1" ht="13.9" customHeight="1" x14ac:dyDescent="0.2">
      <c r="A93" s="89"/>
      <c r="B93" s="52"/>
      <c r="C93" s="52"/>
      <c r="D93" s="52"/>
      <c r="E93" s="52"/>
      <c r="F93" s="52"/>
      <c r="G93" s="52"/>
      <c r="H93" s="52"/>
      <c r="I93" s="52"/>
      <c r="J93" s="75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88"/>
    </row>
    <row r="94" spans="1:27" s="28" customFormat="1" ht="13.9" customHeight="1" x14ac:dyDescent="0.2">
      <c r="A94" s="89"/>
      <c r="B94" s="52"/>
      <c r="C94" s="52"/>
      <c r="D94" s="52"/>
      <c r="E94" s="52"/>
      <c r="F94" s="52"/>
      <c r="G94" s="52"/>
      <c r="H94" s="52"/>
      <c r="I94" s="52"/>
      <c r="J94" s="75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88"/>
    </row>
    <row r="95" spans="1:27" s="28" customFormat="1" ht="13.9" customHeight="1" x14ac:dyDescent="0.2">
      <c r="A95" s="89"/>
      <c r="B95" s="52"/>
      <c r="C95" s="52"/>
      <c r="D95" s="52"/>
      <c r="E95" s="52"/>
      <c r="F95" s="52"/>
      <c r="G95" s="52"/>
      <c r="H95" s="52"/>
      <c r="I95" s="52"/>
      <c r="J95" s="75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88"/>
    </row>
    <row r="96" spans="1:27" s="28" customFormat="1" ht="13.9" customHeight="1" x14ac:dyDescent="0.2">
      <c r="A96" s="89"/>
      <c r="B96" s="52"/>
      <c r="C96" s="52"/>
      <c r="D96" s="52"/>
      <c r="E96" s="52"/>
      <c r="F96" s="52"/>
      <c r="G96" s="52"/>
      <c r="H96" s="52"/>
      <c r="I96" s="52"/>
      <c r="J96" s="75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88"/>
    </row>
    <row r="97" spans="1:27" s="28" customFormat="1" ht="13.9" customHeight="1" x14ac:dyDescent="0.2">
      <c r="A97" s="89"/>
      <c r="B97" s="52"/>
      <c r="C97" s="52"/>
      <c r="D97" s="52"/>
      <c r="E97" s="52"/>
      <c r="F97" s="52"/>
      <c r="G97" s="52"/>
      <c r="H97" s="52"/>
      <c r="I97" s="52"/>
      <c r="J97" s="75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88"/>
    </row>
    <row r="98" spans="1:27" s="28" customFormat="1" ht="13.9" customHeight="1" x14ac:dyDescent="0.2">
      <c r="A98" s="89"/>
      <c r="B98" s="52"/>
      <c r="C98" s="52"/>
      <c r="D98" s="52"/>
      <c r="E98" s="52"/>
      <c r="F98" s="52"/>
      <c r="G98" s="52"/>
      <c r="H98" s="52"/>
      <c r="I98" s="52"/>
      <c r="J98" s="75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88"/>
    </row>
    <row r="99" spans="1:27" s="28" customFormat="1" ht="13.9" customHeight="1" x14ac:dyDescent="0.2">
      <c r="A99" s="89"/>
      <c r="B99" s="52"/>
      <c r="C99" s="52"/>
      <c r="D99" s="52"/>
      <c r="E99" s="52"/>
      <c r="F99" s="52"/>
      <c r="G99" s="52"/>
      <c r="H99" s="52"/>
      <c r="I99" s="52"/>
      <c r="J99" s="75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88"/>
    </row>
    <row r="100" spans="1:27" s="28" customFormat="1" ht="13.9" customHeight="1" x14ac:dyDescent="0.2">
      <c r="A100" s="89"/>
      <c r="B100" s="52"/>
      <c r="C100" s="52"/>
      <c r="D100" s="52"/>
      <c r="E100" s="52"/>
      <c r="F100" s="52"/>
      <c r="G100" s="52"/>
      <c r="H100" s="52"/>
      <c r="I100" s="52"/>
      <c r="J100" s="75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88"/>
    </row>
    <row r="101" spans="1:27" s="28" customFormat="1" ht="13.9" customHeight="1" x14ac:dyDescent="0.2">
      <c r="A101" s="113"/>
      <c r="B101" s="114"/>
      <c r="C101" s="114"/>
      <c r="D101" s="114"/>
      <c r="E101" s="114"/>
      <c r="F101" s="114"/>
      <c r="G101" s="114"/>
      <c r="H101" s="114"/>
      <c r="I101" s="114"/>
      <c r="J101" s="115"/>
      <c r="K101" s="114"/>
      <c r="L101" s="114"/>
      <c r="M101" s="114"/>
      <c r="N101" s="114"/>
      <c r="O101" s="114"/>
      <c r="P101" s="114"/>
      <c r="Q101" s="114"/>
      <c r="R101" s="114"/>
      <c r="S101" s="114"/>
      <c r="T101" s="114"/>
      <c r="U101" s="114"/>
      <c r="V101" s="114"/>
      <c r="W101" s="114"/>
      <c r="X101" s="114"/>
      <c r="Y101" s="114"/>
      <c r="Z101" s="114"/>
      <c r="AA101" s="116"/>
    </row>
    <row r="102" spans="1:27" s="28" customFormat="1" ht="13.9" customHeight="1" x14ac:dyDescent="0.2">
      <c r="J102" s="2"/>
    </row>
    <row r="103" spans="1:27" s="28" customFormat="1" ht="13.9" customHeight="1" x14ac:dyDescent="0.2">
      <c r="J103" s="2"/>
    </row>
    <row r="104" spans="1:27" s="28" customFormat="1" ht="13.9" customHeight="1" x14ac:dyDescent="0.2">
      <c r="J104" s="2"/>
    </row>
    <row r="105" spans="1:27" s="28" customFormat="1" ht="13.9" customHeight="1" x14ac:dyDescent="0.2">
      <c r="J105" s="2"/>
    </row>
    <row r="106" spans="1:27" s="28" customFormat="1" ht="13.9" customHeight="1" x14ac:dyDescent="0.2">
      <c r="J106" s="2"/>
    </row>
    <row r="107" spans="1:27" s="28" customFormat="1" ht="13.9" customHeight="1" x14ac:dyDescent="0.2">
      <c r="J107" s="2"/>
    </row>
    <row r="108" spans="1:27" s="28" customFormat="1" ht="13.9" customHeight="1" x14ac:dyDescent="0.2">
      <c r="J108" s="2"/>
    </row>
    <row r="109" spans="1:27" s="28" customFormat="1" ht="13.9" customHeight="1" x14ac:dyDescent="0.2">
      <c r="J109" s="2"/>
    </row>
    <row r="110" spans="1:27" s="28" customFormat="1" ht="13.9" customHeight="1" x14ac:dyDescent="0.2">
      <c r="J110" s="2"/>
    </row>
    <row r="111" spans="1:27" s="28" customFormat="1" ht="13.9" customHeight="1" x14ac:dyDescent="0.2">
      <c r="J111" s="2"/>
    </row>
    <row r="112" spans="1:27" s="28" customFormat="1" ht="13.9" customHeight="1" x14ac:dyDescent="0.2">
      <c r="J112" s="2"/>
    </row>
    <row r="113" spans="10:10" s="28" customFormat="1" ht="13.9" customHeight="1" x14ac:dyDescent="0.2">
      <c r="J113" s="2"/>
    </row>
    <row r="114" spans="10:10" s="28" customFormat="1" ht="13.9" customHeight="1" x14ac:dyDescent="0.2">
      <c r="J114" s="2"/>
    </row>
    <row r="115" spans="10:10" s="28" customFormat="1" ht="13.9" customHeight="1" x14ac:dyDescent="0.2">
      <c r="J115" s="2"/>
    </row>
    <row r="116" spans="10:10" s="28" customFormat="1" ht="13.9" customHeight="1" x14ac:dyDescent="0.2">
      <c r="J116" s="2"/>
    </row>
    <row r="117" spans="10:10" s="28" customFormat="1" ht="13.9" customHeight="1" x14ac:dyDescent="0.2">
      <c r="J117" s="2"/>
    </row>
    <row r="118" spans="10:10" s="28" customFormat="1" ht="13.9" customHeight="1" x14ac:dyDescent="0.2">
      <c r="J118" s="2"/>
    </row>
    <row r="119" spans="10:10" s="28" customFormat="1" ht="13.9" customHeight="1" x14ac:dyDescent="0.2">
      <c r="J119" s="2"/>
    </row>
    <row r="120" spans="10:10" s="28" customFormat="1" ht="13.9" customHeight="1" x14ac:dyDescent="0.2">
      <c r="J120" s="2"/>
    </row>
    <row r="121" spans="10:10" s="28" customFormat="1" ht="13.9" customHeight="1" x14ac:dyDescent="0.2">
      <c r="J121" s="2"/>
    </row>
    <row r="122" spans="10:10" s="28" customFormat="1" ht="13.9" customHeight="1" x14ac:dyDescent="0.2">
      <c r="J122" s="2"/>
    </row>
    <row r="123" spans="10:10" s="28" customFormat="1" ht="13.9" customHeight="1" x14ac:dyDescent="0.2">
      <c r="J123" s="2"/>
    </row>
    <row r="124" spans="10:10" s="28" customFormat="1" ht="13.9" customHeight="1" x14ac:dyDescent="0.2">
      <c r="J124" s="2"/>
    </row>
    <row r="125" spans="10:10" s="28" customFormat="1" ht="13.9" customHeight="1" x14ac:dyDescent="0.2">
      <c r="J125" s="2"/>
    </row>
    <row r="126" spans="10:10" s="28" customFormat="1" ht="13.9" customHeight="1" x14ac:dyDescent="0.2">
      <c r="J126" s="2"/>
    </row>
    <row r="127" spans="10:10" s="28" customFormat="1" ht="13.9" customHeight="1" x14ac:dyDescent="0.2">
      <c r="J127" s="2"/>
    </row>
    <row r="128" spans="10:10" s="28" customFormat="1" ht="13.9" customHeight="1" x14ac:dyDescent="0.2">
      <c r="J128" s="2"/>
    </row>
    <row r="129" spans="10:10" s="28" customFormat="1" ht="13.9" customHeight="1" x14ac:dyDescent="0.2">
      <c r="J129" s="2"/>
    </row>
    <row r="130" spans="10:10" s="28" customFormat="1" ht="13.9" customHeight="1" x14ac:dyDescent="0.2">
      <c r="J130" s="2"/>
    </row>
    <row r="131" spans="10:10" s="28" customFormat="1" ht="13.9" customHeight="1" x14ac:dyDescent="0.2">
      <c r="J131" s="2"/>
    </row>
    <row r="132" spans="10:10" s="28" customFormat="1" ht="13.9" customHeight="1" x14ac:dyDescent="0.2">
      <c r="J132" s="2"/>
    </row>
    <row r="133" spans="10:10" s="28" customFormat="1" ht="13.9" customHeight="1" x14ac:dyDescent="0.2">
      <c r="J133" s="2"/>
    </row>
    <row r="134" spans="10:10" s="28" customFormat="1" ht="13.9" customHeight="1" x14ac:dyDescent="0.2">
      <c r="J134" s="2"/>
    </row>
    <row r="135" spans="10:10" s="28" customFormat="1" ht="13.9" customHeight="1" x14ac:dyDescent="0.2">
      <c r="J135" s="2"/>
    </row>
    <row r="136" spans="10:10" s="28" customFormat="1" ht="13.9" customHeight="1" x14ac:dyDescent="0.2">
      <c r="J136" s="2"/>
    </row>
    <row r="137" spans="10:10" s="28" customFormat="1" ht="13.9" customHeight="1" x14ac:dyDescent="0.2">
      <c r="J137" s="2"/>
    </row>
    <row r="138" spans="10:10" s="28" customFormat="1" ht="13.9" customHeight="1" x14ac:dyDescent="0.2">
      <c r="J138" s="2"/>
    </row>
    <row r="139" spans="10:10" s="28" customFormat="1" ht="13.9" customHeight="1" x14ac:dyDescent="0.2">
      <c r="J139" s="2"/>
    </row>
    <row r="140" spans="10:10" s="28" customFormat="1" ht="13.9" customHeight="1" x14ac:dyDescent="0.2">
      <c r="J140" s="2"/>
    </row>
    <row r="141" spans="10:10" s="28" customFormat="1" ht="13.9" customHeight="1" x14ac:dyDescent="0.2">
      <c r="J141" s="2"/>
    </row>
    <row r="142" spans="10:10" s="28" customFormat="1" ht="13.9" customHeight="1" x14ac:dyDescent="0.2">
      <c r="J142" s="2"/>
    </row>
    <row r="143" spans="10:10" s="28" customFormat="1" ht="13.9" customHeight="1" x14ac:dyDescent="0.2">
      <c r="J143" s="2"/>
    </row>
    <row r="144" spans="10:10" s="28" customFormat="1" ht="13.9" customHeight="1" x14ac:dyDescent="0.2">
      <c r="J144" s="2"/>
    </row>
    <row r="145" spans="10:10" s="28" customFormat="1" ht="13.9" customHeight="1" x14ac:dyDescent="0.2">
      <c r="J145" s="2"/>
    </row>
    <row r="146" spans="10:10" s="28" customFormat="1" ht="13.9" customHeight="1" x14ac:dyDescent="0.2">
      <c r="J146" s="2"/>
    </row>
    <row r="147" spans="10:10" s="28" customFormat="1" ht="13.9" customHeight="1" x14ac:dyDescent="0.2">
      <c r="J147" s="2"/>
    </row>
    <row r="148" spans="10:10" s="28" customFormat="1" ht="13.9" customHeight="1" x14ac:dyDescent="0.2">
      <c r="J148" s="2"/>
    </row>
    <row r="149" spans="10:10" s="28" customFormat="1" ht="13.9" customHeight="1" x14ac:dyDescent="0.2">
      <c r="J149" s="2"/>
    </row>
    <row r="150" spans="10:10" s="28" customFormat="1" ht="13.9" customHeight="1" x14ac:dyDescent="0.2">
      <c r="J150" s="2"/>
    </row>
    <row r="151" spans="10:10" s="28" customFormat="1" ht="13.9" customHeight="1" x14ac:dyDescent="0.2">
      <c r="J151" s="2"/>
    </row>
    <row r="152" spans="10:10" s="28" customFormat="1" ht="13.9" customHeight="1" x14ac:dyDescent="0.2">
      <c r="J152" s="2"/>
    </row>
    <row r="153" spans="10:10" s="28" customFormat="1" ht="13.9" customHeight="1" x14ac:dyDescent="0.2">
      <c r="J153" s="2"/>
    </row>
    <row r="154" spans="10:10" s="28" customFormat="1" ht="13.9" customHeight="1" x14ac:dyDescent="0.2">
      <c r="J154" s="2"/>
    </row>
    <row r="155" spans="10:10" s="28" customFormat="1" ht="13.9" customHeight="1" x14ac:dyDescent="0.2">
      <c r="J155" s="2"/>
    </row>
    <row r="156" spans="10:10" s="28" customFormat="1" ht="13.9" customHeight="1" x14ac:dyDescent="0.2">
      <c r="J156" s="2"/>
    </row>
    <row r="157" spans="10:10" s="28" customFormat="1" ht="13.9" customHeight="1" x14ac:dyDescent="0.2">
      <c r="J157" s="2"/>
    </row>
    <row r="158" spans="10:10" s="28" customFormat="1" ht="13.9" customHeight="1" x14ac:dyDescent="0.2">
      <c r="J158" s="2"/>
    </row>
    <row r="159" spans="10:10" s="28" customFormat="1" ht="13.9" customHeight="1" x14ac:dyDescent="0.2">
      <c r="J159" s="2"/>
    </row>
    <row r="160" spans="10:10" s="28" customFormat="1" ht="13.9" customHeight="1" x14ac:dyDescent="0.2">
      <c r="J160" s="2"/>
    </row>
    <row r="161" spans="10:10" s="28" customFormat="1" ht="13.9" customHeight="1" x14ac:dyDescent="0.2">
      <c r="J161" s="2"/>
    </row>
    <row r="162" spans="10:10" s="28" customFormat="1" ht="13.9" customHeight="1" x14ac:dyDescent="0.2">
      <c r="J162" s="2"/>
    </row>
    <row r="163" spans="10:10" s="28" customFormat="1" ht="13.9" customHeight="1" x14ac:dyDescent="0.2">
      <c r="J163" s="2"/>
    </row>
    <row r="164" spans="10:10" s="28" customFormat="1" ht="13.9" customHeight="1" x14ac:dyDescent="0.2">
      <c r="J164" s="2"/>
    </row>
    <row r="165" spans="10:10" s="28" customFormat="1" ht="13.9" customHeight="1" x14ac:dyDescent="0.2">
      <c r="J165" s="2"/>
    </row>
    <row r="166" spans="10:10" s="28" customFormat="1" ht="13.9" customHeight="1" x14ac:dyDescent="0.2">
      <c r="J166" s="2"/>
    </row>
    <row r="167" spans="10:10" s="28" customFormat="1" ht="13.9" customHeight="1" x14ac:dyDescent="0.2">
      <c r="J167" s="2"/>
    </row>
    <row r="168" spans="10:10" s="28" customFormat="1" ht="13.9" customHeight="1" x14ac:dyDescent="0.2">
      <c r="J168" s="2"/>
    </row>
    <row r="169" spans="10:10" s="28" customFormat="1" ht="13.9" customHeight="1" x14ac:dyDescent="0.2">
      <c r="J169" s="2"/>
    </row>
    <row r="170" spans="10:10" s="28" customFormat="1" ht="13.9" customHeight="1" x14ac:dyDescent="0.2">
      <c r="J170" s="2"/>
    </row>
    <row r="171" spans="10:10" s="28" customFormat="1" ht="13.9" customHeight="1" x14ac:dyDescent="0.2">
      <c r="J171" s="2"/>
    </row>
    <row r="172" spans="10:10" s="28" customFormat="1" ht="13.9" customHeight="1" x14ac:dyDescent="0.2">
      <c r="J172" s="2"/>
    </row>
    <row r="173" spans="10:10" s="28" customFormat="1" ht="13.9" customHeight="1" x14ac:dyDescent="0.2">
      <c r="J173" s="2"/>
    </row>
    <row r="174" spans="10:10" s="28" customFormat="1" ht="13.9" customHeight="1" x14ac:dyDescent="0.2">
      <c r="J174" s="2"/>
    </row>
    <row r="175" spans="10:10" s="28" customFormat="1" ht="13.9" customHeight="1" x14ac:dyDescent="0.2">
      <c r="J175" s="2"/>
    </row>
    <row r="176" spans="10:10" s="28" customFormat="1" ht="13.9" customHeight="1" x14ac:dyDescent="0.2">
      <c r="J176" s="2"/>
    </row>
    <row r="177" spans="10:10" s="28" customFormat="1" ht="13.9" customHeight="1" x14ac:dyDescent="0.2">
      <c r="J177" s="2"/>
    </row>
    <row r="178" spans="10:10" s="28" customFormat="1" ht="13.9" customHeight="1" x14ac:dyDescent="0.2">
      <c r="J178" s="2"/>
    </row>
    <row r="179" spans="10:10" s="28" customFormat="1" ht="13.9" customHeight="1" x14ac:dyDescent="0.2">
      <c r="J179" s="2"/>
    </row>
    <row r="180" spans="10:10" s="28" customFormat="1" ht="13.9" customHeight="1" x14ac:dyDescent="0.2">
      <c r="J180" s="2"/>
    </row>
    <row r="181" spans="10:10" s="28" customFormat="1" ht="13.9" customHeight="1" x14ac:dyDescent="0.2">
      <c r="J181" s="2"/>
    </row>
    <row r="182" spans="10:10" s="28" customFormat="1" ht="13.9" customHeight="1" x14ac:dyDescent="0.2">
      <c r="J182" s="2"/>
    </row>
    <row r="183" spans="10:10" s="28" customFormat="1" ht="13.9" customHeight="1" x14ac:dyDescent="0.2">
      <c r="J183" s="2"/>
    </row>
    <row r="184" spans="10:10" s="28" customFormat="1" ht="13.9" customHeight="1" x14ac:dyDescent="0.2">
      <c r="J184" s="2"/>
    </row>
    <row r="185" spans="10:10" s="28" customFormat="1" ht="13.9" customHeight="1" x14ac:dyDescent="0.2">
      <c r="J185" s="2"/>
    </row>
    <row r="186" spans="10:10" s="28" customFormat="1" ht="13.9" customHeight="1" x14ac:dyDescent="0.2">
      <c r="J186" s="2"/>
    </row>
    <row r="187" spans="10:10" s="28" customFormat="1" ht="13.9" customHeight="1" x14ac:dyDescent="0.2">
      <c r="J187" s="2"/>
    </row>
    <row r="188" spans="10:10" s="28" customFormat="1" ht="13.9" customHeight="1" x14ac:dyDescent="0.2">
      <c r="J188" s="2"/>
    </row>
    <row r="189" spans="10:10" s="28" customFormat="1" ht="13.9" customHeight="1" x14ac:dyDescent="0.2">
      <c r="J189" s="2"/>
    </row>
    <row r="190" spans="10:10" s="28" customFormat="1" ht="13.9" customHeight="1" x14ac:dyDescent="0.2">
      <c r="J190" s="2"/>
    </row>
    <row r="191" spans="10:10" s="28" customFormat="1" ht="13.9" customHeight="1" x14ac:dyDescent="0.2">
      <c r="J191" s="2"/>
    </row>
    <row r="192" spans="10:10" s="28" customFormat="1" ht="13.9" customHeight="1" x14ac:dyDescent="0.2">
      <c r="J192" s="2"/>
    </row>
    <row r="193" spans="10:10" s="28" customFormat="1" ht="13.9" customHeight="1" x14ac:dyDescent="0.2">
      <c r="J193" s="2"/>
    </row>
    <row r="194" spans="10:10" s="28" customFormat="1" ht="13.9" customHeight="1" x14ac:dyDescent="0.2">
      <c r="J194" s="2"/>
    </row>
    <row r="195" spans="10:10" s="28" customFormat="1" ht="13.9" customHeight="1" x14ac:dyDescent="0.2">
      <c r="J195" s="2"/>
    </row>
    <row r="196" spans="10:10" s="28" customFormat="1" ht="13.9" customHeight="1" x14ac:dyDescent="0.2">
      <c r="J196" s="2"/>
    </row>
    <row r="197" spans="10:10" s="28" customFormat="1" ht="13.9" customHeight="1" x14ac:dyDescent="0.2">
      <c r="J197" s="2"/>
    </row>
    <row r="198" spans="10:10" s="28" customFormat="1" ht="13.9" customHeight="1" x14ac:dyDescent="0.2">
      <c r="J198" s="2"/>
    </row>
    <row r="199" spans="10:10" s="28" customFormat="1" ht="13.9" customHeight="1" x14ac:dyDescent="0.2">
      <c r="J199" s="2"/>
    </row>
    <row r="200" spans="10:10" s="28" customFormat="1" ht="13.9" customHeight="1" x14ac:dyDescent="0.2">
      <c r="J200" s="2"/>
    </row>
    <row r="201" spans="10:10" s="28" customFormat="1" ht="13.9" customHeight="1" x14ac:dyDescent="0.2">
      <c r="J201" s="2"/>
    </row>
    <row r="202" spans="10:10" s="28" customFormat="1" ht="13.9" customHeight="1" x14ac:dyDescent="0.2">
      <c r="J202" s="2"/>
    </row>
    <row r="203" spans="10:10" s="28" customFormat="1" ht="13.9" customHeight="1" x14ac:dyDescent="0.2">
      <c r="J203" s="2"/>
    </row>
    <row r="204" spans="10:10" s="28" customFormat="1" ht="13.9" customHeight="1" x14ac:dyDescent="0.2">
      <c r="J204" s="2"/>
    </row>
    <row r="205" spans="10:10" s="28" customFormat="1" ht="13.9" customHeight="1" x14ac:dyDescent="0.2">
      <c r="J205" s="2"/>
    </row>
    <row r="206" spans="10:10" s="28" customFormat="1" ht="13.9" customHeight="1" x14ac:dyDescent="0.2">
      <c r="J206" s="2"/>
    </row>
    <row r="207" spans="10:10" s="28" customFormat="1" ht="13.9" customHeight="1" x14ac:dyDescent="0.2">
      <c r="J207" s="2"/>
    </row>
    <row r="208" spans="10:10" s="28" customFormat="1" ht="13.9" customHeight="1" x14ac:dyDescent="0.2">
      <c r="J208" s="2"/>
    </row>
    <row r="209" spans="10:10" s="28" customFormat="1" ht="13.9" customHeight="1" x14ac:dyDescent="0.2">
      <c r="J209" s="2"/>
    </row>
    <row r="210" spans="10:10" s="28" customFormat="1" ht="13.9" customHeight="1" x14ac:dyDescent="0.2">
      <c r="J210" s="2"/>
    </row>
    <row r="211" spans="10:10" s="28" customFormat="1" ht="13.9" customHeight="1" x14ac:dyDescent="0.2">
      <c r="J211" s="2"/>
    </row>
    <row r="212" spans="10:10" s="28" customFormat="1" ht="13.9" customHeight="1" x14ac:dyDescent="0.2">
      <c r="J212" s="2"/>
    </row>
    <row r="213" spans="10:10" s="28" customFormat="1" ht="13.9" customHeight="1" x14ac:dyDescent="0.2">
      <c r="J213" s="2"/>
    </row>
    <row r="214" spans="10:10" s="28" customFormat="1" ht="13.9" customHeight="1" x14ac:dyDescent="0.2">
      <c r="J214" s="2"/>
    </row>
    <row r="215" spans="10:10" s="28" customFormat="1" ht="13.9" customHeight="1" x14ac:dyDescent="0.2">
      <c r="J215" s="2"/>
    </row>
    <row r="216" spans="10:10" s="28" customFormat="1" ht="13.9" customHeight="1" x14ac:dyDescent="0.2">
      <c r="J216" s="2"/>
    </row>
    <row r="217" spans="10:10" s="28" customFormat="1" ht="13.9" customHeight="1" x14ac:dyDescent="0.2">
      <c r="J217" s="2"/>
    </row>
    <row r="218" spans="10:10" s="28" customFormat="1" ht="13.9" customHeight="1" x14ac:dyDescent="0.2">
      <c r="J218" s="2"/>
    </row>
    <row r="219" spans="10:10" s="28" customFormat="1" ht="13.9" customHeight="1" x14ac:dyDescent="0.2">
      <c r="J219" s="2"/>
    </row>
    <row r="220" spans="10:10" s="28" customFormat="1" ht="13.9" customHeight="1" x14ac:dyDescent="0.2">
      <c r="J220" s="2"/>
    </row>
    <row r="221" spans="10:10" s="28" customFormat="1" ht="13.9" customHeight="1" x14ac:dyDescent="0.2">
      <c r="J221" s="2"/>
    </row>
    <row r="222" spans="10:10" s="28" customFormat="1" ht="13.9" customHeight="1" x14ac:dyDescent="0.2">
      <c r="J222" s="2"/>
    </row>
    <row r="223" spans="10:10" s="28" customFormat="1" ht="13.9" customHeight="1" x14ac:dyDescent="0.2">
      <c r="J223" s="2"/>
    </row>
    <row r="224" spans="10:10" s="28" customFormat="1" ht="13.9" customHeight="1" x14ac:dyDescent="0.2">
      <c r="J224" s="2"/>
    </row>
    <row r="225" spans="10:10" s="28" customFormat="1" ht="13.9" customHeight="1" x14ac:dyDescent="0.2">
      <c r="J225" s="2"/>
    </row>
    <row r="226" spans="10:10" s="28" customFormat="1" ht="13.9" customHeight="1" x14ac:dyDescent="0.2">
      <c r="J226" s="2"/>
    </row>
    <row r="227" spans="10:10" s="28" customFormat="1" ht="13.9" customHeight="1" x14ac:dyDescent="0.2">
      <c r="J227" s="2"/>
    </row>
    <row r="228" spans="10:10" s="28" customFormat="1" ht="13.9" customHeight="1" x14ac:dyDescent="0.2">
      <c r="J228" s="2"/>
    </row>
    <row r="229" spans="10:10" s="28" customFormat="1" ht="13.9" customHeight="1" x14ac:dyDescent="0.2">
      <c r="J229" s="2"/>
    </row>
    <row r="230" spans="10:10" s="28" customFormat="1" ht="13.9" customHeight="1" x14ac:dyDescent="0.2">
      <c r="J230" s="2"/>
    </row>
    <row r="231" spans="10:10" s="28" customFormat="1" ht="13.9" customHeight="1" x14ac:dyDescent="0.2">
      <c r="J231" s="2"/>
    </row>
    <row r="232" spans="10:10" s="28" customFormat="1" ht="13.9" customHeight="1" x14ac:dyDescent="0.2">
      <c r="J232" s="2"/>
    </row>
    <row r="233" spans="10:10" s="28" customFormat="1" ht="13.9" customHeight="1" x14ac:dyDescent="0.2">
      <c r="J233" s="2"/>
    </row>
    <row r="234" spans="10:10" s="28" customFormat="1" ht="13.9" customHeight="1" x14ac:dyDescent="0.2">
      <c r="J234" s="2"/>
    </row>
    <row r="235" spans="10:10" s="28" customFormat="1" ht="13.9" customHeight="1" x14ac:dyDescent="0.2">
      <c r="J235" s="2"/>
    </row>
    <row r="236" spans="10:10" s="28" customFormat="1" ht="13.9" customHeight="1" x14ac:dyDescent="0.2">
      <c r="J236" s="2"/>
    </row>
    <row r="237" spans="10:10" s="28" customFormat="1" ht="13.9" customHeight="1" x14ac:dyDescent="0.2">
      <c r="J237" s="2"/>
    </row>
    <row r="238" spans="10:10" s="28" customFormat="1" ht="13.9" customHeight="1" x14ac:dyDescent="0.2">
      <c r="J238" s="2"/>
    </row>
    <row r="239" spans="10:10" s="28" customFormat="1" ht="13.9" customHeight="1" x14ac:dyDescent="0.2">
      <c r="J239" s="2"/>
    </row>
    <row r="240" spans="10:10" s="28" customFormat="1" ht="13.9" customHeight="1" x14ac:dyDescent="0.2">
      <c r="J240" s="2"/>
    </row>
    <row r="241" spans="10:10" s="28" customFormat="1" ht="13.9" customHeight="1" x14ac:dyDescent="0.2">
      <c r="J241" s="2"/>
    </row>
    <row r="242" spans="10:10" s="28" customFormat="1" ht="13.9" customHeight="1" x14ac:dyDescent="0.2">
      <c r="J242" s="2"/>
    </row>
    <row r="243" spans="10:10" s="28" customFormat="1" ht="13.9" customHeight="1" x14ac:dyDescent="0.2">
      <c r="J243" s="2"/>
    </row>
    <row r="244" spans="10:10" s="28" customFormat="1" ht="13.9" customHeight="1" x14ac:dyDescent="0.2">
      <c r="J244" s="2"/>
    </row>
    <row r="245" spans="10:10" s="28" customFormat="1" ht="13.9" customHeight="1" x14ac:dyDescent="0.2">
      <c r="J245" s="2"/>
    </row>
    <row r="246" spans="10:10" s="28" customFormat="1" ht="13.9" customHeight="1" x14ac:dyDescent="0.2">
      <c r="J246" s="2"/>
    </row>
    <row r="247" spans="10:10" s="28" customFormat="1" ht="13.9" customHeight="1" x14ac:dyDescent="0.2">
      <c r="J247" s="2"/>
    </row>
    <row r="248" spans="10:10" s="28" customFormat="1" ht="13.9" customHeight="1" x14ac:dyDescent="0.2">
      <c r="J248" s="2"/>
    </row>
    <row r="249" spans="10:10" s="28" customFormat="1" ht="13.9" customHeight="1" x14ac:dyDescent="0.2">
      <c r="J249" s="2"/>
    </row>
    <row r="250" spans="10:10" s="28" customFormat="1" ht="13.9" customHeight="1" x14ac:dyDescent="0.2">
      <c r="J250" s="2"/>
    </row>
    <row r="251" spans="10:10" s="28" customFormat="1" ht="13.9" customHeight="1" x14ac:dyDescent="0.2">
      <c r="J251" s="2"/>
    </row>
    <row r="252" spans="10:10" s="28" customFormat="1" ht="13.9" customHeight="1" x14ac:dyDescent="0.2">
      <c r="J252" s="2"/>
    </row>
    <row r="253" spans="10:10" s="28" customFormat="1" ht="13.9" customHeight="1" x14ac:dyDescent="0.2">
      <c r="J253" s="2"/>
    </row>
    <row r="254" spans="10:10" s="28" customFormat="1" ht="13.9" customHeight="1" x14ac:dyDescent="0.2">
      <c r="J254" s="2"/>
    </row>
    <row r="255" spans="10:10" s="28" customFormat="1" ht="13.9" customHeight="1" x14ac:dyDescent="0.2">
      <c r="J255" s="2"/>
    </row>
    <row r="256" spans="10:10" s="28" customFormat="1" ht="13.9" customHeight="1" x14ac:dyDescent="0.2">
      <c r="J256" s="2"/>
    </row>
    <row r="257" spans="10:10" s="28" customFormat="1" ht="13.9" customHeight="1" x14ac:dyDescent="0.2">
      <c r="J257" s="2"/>
    </row>
    <row r="258" spans="10:10" s="28" customFormat="1" ht="13.9" customHeight="1" x14ac:dyDescent="0.2">
      <c r="J258" s="2"/>
    </row>
    <row r="259" spans="10:10" s="28" customFormat="1" ht="13.9" customHeight="1" x14ac:dyDescent="0.2">
      <c r="J259" s="2"/>
    </row>
    <row r="260" spans="10:10" s="28" customFormat="1" ht="13.9" customHeight="1" x14ac:dyDescent="0.2">
      <c r="J260" s="2"/>
    </row>
    <row r="261" spans="10:10" s="28" customFormat="1" ht="13.9" customHeight="1" x14ac:dyDescent="0.2">
      <c r="J261" s="2"/>
    </row>
    <row r="262" spans="10:10" s="28" customFormat="1" ht="13.9" customHeight="1" x14ac:dyDescent="0.2">
      <c r="J262" s="2"/>
    </row>
    <row r="263" spans="10:10" s="28" customFormat="1" ht="13.9" customHeight="1" x14ac:dyDescent="0.2">
      <c r="J263" s="2"/>
    </row>
    <row r="264" spans="10:10" s="28" customFormat="1" ht="13.9" customHeight="1" x14ac:dyDescent="0.2">
      <c r="J264" s="2"/>
    </row>
    <row r="265" spans="10:10" s="28" customFormat="1" ht="13.9" customHeight="1" x14ac:dyDescent="0.2">
      <c r="J265" s="2"/>
    </row>
    <row r="266" spans="10:10" s="28" customFormat="1" ht="13.9" customHeight="1" x14ac:dyDescent="0.2">
      <c r="J266" s="2"/>
    </row>
    <row r="267" spans="10:10" s="28" customFormat="1" ht="13.9" customHeight="1" x14ac:dyDescent="0.2">
      <c r="J267" s="2"/>
    </row>
    <row r="268" spans="10:10" s="28" customFormat="1" ht="13.9" customHeight="1" x14ac:dyDescent="0.2">
      <c r="J268" s="2"/>
    </row>
    <row r="269" spans="10:10" s="28" customFormat="1" ht="13.9" customHeight="1" x14ac:dyDescent="0.2">
      <c r="J269" s="2"/>
    </row>
    <row r="270" spans="10:10" s="28" customFormat="1" ht="13.9" customHeight="1" x14ac:dyDescent="0.2">
      <c r="J270" s="2"/>
    </row>
    <row r="271" spans="10:10" s="28" customFormat="1" ht="13.9" customHeight="1" x14ac:dyDescent="0.2">
      <c r="J271" s="2"/>
    </row>
    <row r="272" spans="10:10" s="28" customFormat="1" ht="13.9" customHeight="1" x14ac:dyDescent="0.2">
      <c r="J272" s="2"/>
    </row>
    <row r="273" spans="10:10" s="28" customFormat="1" ht="13.9" customHeight="1" x14ac:dyDescent="0.2">
      <c r="J273" s="2"/>
    </row>
    <row r="274" spans="10:10" s="28" customFormat="1" ht="13.9" customHeight="1" x14ac:dyDescent="0.2">
      <c r="J274" s="2"/>
    </row>
    <row r="275" spans="10:10" s="28" customFormat="1" ht="13.9" customHeight="1" x14ac:dyDescent="0.2">
      <c r="J275" s="2"/>
    </row>
    <row r="276" spans="10:10" s="28" customFormat="1" ht="13.9" customHeight="1" x14ac:dyDescent="0.2">
      <c r="J276" s="2"/>
    </row>
    <row r="277" spans="10:10" s="28" customFormat="1" ht="13.9" customHeight="1" x14ac:dyDescent="0.2">
      <c r="J277" s="2"/>
    </row>
    <row r="278" spans="10:10" s="28" customFormat="1" ht="13.9" customHeight="1" x14ac:dyDescent="0.2">
      <c r="J278" s="2"/>
    </row>
    <row r="279" spans="10:10" s="28" customFormat="1" ht="13.9" customHeight="1" x14ac:dyDescent="0.2">
      <c r="J279" s="2"/>
    </row>
    <row r="280" spans="10:10" s="28" customFormat="1" ht="13.9" customHeight="1" x14ac:dyDescent="0.2">
      <c r="J280" s="2"/>
    </row>
    <row r="281" spans="10:10" s="28" customFormat="1" ht="13.9" customHeight="1" x14ac:dyDescent="0.2">
      <c r="J281" s="2"/>
    </row>
    <row r="282" spans="10:10" s="28" customFormat="1" ht="13.9" customHeight="1" x14ac:dyDescent="0.2">
      <c r="J282" s="2"/>
    </row>
    <row r="283" spans="10:10" s="28" customFormat="1" ht="13.9" customHeight="1" x14ac:dyDescent="0.2">
      <c r="J283" s="2"/>
    </row>
    <row r="284" spans="10:10" s="28" customFormat="1" ht="13.9" customHeight="1" x14ac:dyDescent="0.2">
      <c r="J284" s="2"/>
    </row>
    <row r="285" spans="10:10" s="28" customFormat="1" ht="13.9" customHeight="1" x14ac:dyDescent="0.2">
      <c r="J285" s="2"/>
    </row>
    <row r="286" spans="10:10" s="28" customFormat="1" ht="13.9" customHeight="1" x14ac:dyDescent="0.2">
      <c r="J286" s="2"/>
    </row>
    <row r="287" spans="10:10" s="28" customFormat="1" ht="13.9" customHeight="1" x14ac:dyDescent="0.2">
      <c r="J287" s="2"/>
    </row>
    <row r="288" spans="10:10" s="28" customFormat="1" ht="13.9" customHeight="1" x14ac:dyDescent="0.2">
      <c r="J288" s="2"/>
    </row>
    <row r="289" spans="10:10" s="28" customFormat="1" ht="13.9" customHeight="1" x14ac:dyDescent="0.2">
      <c r="J289" s="2"/>
    </row>
    <row r="290" spans="10:10" s="28" customFormat="1" ht="13.9" customHeight="1" x14ac:dyDescent="0.2">
      <c r="J290" s="2"/>
    </row>
    <row r="291" spans="10:10" s="28" customFormat="1" ht="13.9" customHeight="1" x14ac:dyDescent="0.2">
      <c r="J291" s="2"/>
    </row>
    <row r="292" spans="10:10" s="28" customFormat="1" ht="13.9" customHeight="1" x14ac:dyDescent="0.2">
      <c r="J292" s="2"/>
    </row>
    <row r="293" spans="10:10" s="28" customFormat="1" ht="13.9" customHeight="1" x14ac:dyDescent="0.2">
      <c r="J293" s="2"/>
    </row>
    <row r="294" spans="10:10" s="28" customFormat="1" ht="13.9" customHeight="1" x14ac:dyDescent="0.2">
      <c r="J294" s="2"/>
    </row>
    <row r="295" spans="10:10" s="28" customFormat="1" ht="13.9" customHeight="1" x14ac:dyDescent="0.2">
      <c r="J295" s="2"/>
    </row>
    <row r="296" spans="10:10" s="28" customFormat="1" ht="13.9" customHeight="1" x14ac:dyDescent="0.2">
      <c r="J296" s="2"/>
    </row>
    <row r="297" spans="10:10" s="28" customFormat="1" ht="13.9" customHeight="1" x14ac:dyDescent="0.2">
      <c r="J297" s="2"/>
    </row>
    <row r="298" spans="10:10" s="28" customFormat="1" ht="13.9" customHeight="1" x14ac:dyDescent="0.2">
      <c r="J298" s="2"/>
    </row>
    <row r="299" spans="10:10" s="28" customFormat="1" ht="13.9" customHeight="1" x14ac:dyDescent="0.2">
      <c r="J299" s="2"/>
    </row>
    <row r="300" spans="10:10" s="28" customFormat="1" ht="13.9" customHeight="1" x14ac:dyDescent="0.2">
      <c r="J300" s="2"/>
    </row>
    <row r="301" spans="10:10" s="28" customFormat="1" ht="13.9" customHeight="1" x14ac:dyDescent="0.2">
      <c r="J301" s="2"/>
    </row>
    <row r="302" spans="10:10" s="28" customFormat="1" ht="13.9" customHeight="1" x14ac:dyDescent="0.2">
      <c r="J302" s="2"/>
    </row>
    <row r="303" spans="10:10" s="28" customFormat="1" ht="13.9" customHeight="1" x14ac:dyDescent="0.2">
      <c r="J303" s="2"/>
    </row>
    <row r="304" spans="10:10" s="28" customFormat="1" ht="13.9" customHeight="1" x14ac:dyDescent="0.2">
      <c r="J304" s="2"/>
    </row>
    <row r="305" spans="10:10" s="28" customFormat="1" ht="13.9" customHeight="1" x14ac:dyDescent="0.2">
      <c r="J305" s="2"/>
    </row>
    <row r="306" spans="10:10" s="28" customFormat="1" ht="13.9" customHeight="1" x14ac:dyDescent="0.2">
      <c r="J306" s="2"/>
    </row>
    <row r="307" spans="10:10" s="28" customFormat="1" ht="13.9" customHeight="1" x14ac:dyDescent="0.2">
      <c r="J307" s="2"/>
    </row>
    <row r="308" spans="10:10" s="28" customFormat="1" ht="13.9" customHeight="1" x14ac:dyDescent="0.2">
      <c r="J308" s="2"/>
    </row>
    <row r="309" spans="10:10" s="28" customFormat="1" ht="13.9" customHeight="1" x14ac:dyDescent="0.2">
      <c r="J309" s="2"/>
    </row>
    <row r="310" spans="10:10" s="28" customFormat="1" ht="13.9" customHeight="1" x14ac:dyDescent="0.2">
      <c r="J310" s="2"/>
    </row>
    <row r="311" spans="10:10" s="28" customFormat="1" ht="13.9" customHeight="1" x14ac:dyDescent="0.2">
      <c r="J311" s="2"/>
    </row>
    <row r="312" spans="10:10" s="28" customFormat="1" ht="13.9" customHeight="1" x14ac:dyDescent="0.2">
      <c r="J312" s="2"/>
    </row>
    <row r="313" spans="10:10" s="28" customFormat="1" ht="13.9" customHeight="1" x14ac:dyDescent="0.2">
      <c r="J313" s="2"/>
    </row>
    <row r="314" spans="10:10" s="28" customFormat="1" ht="13.9" customHeight="1" x14ac:dyDescent="0.2">
      <c r="J314" s="2"/>
    </row>
    <row r="315" spans="10:10" s="28" customFormat="1" ht="13.9" customHeight="1" x14ac:dyDescent="0.2">
      <c r="J315" s="2"/>
    </row>
    <row r="316" spans="10:10" s="28" customFormat="1" ht="13.9" customHeight="1" x14ac:dyDescent="0.2">
      <c r="J316" s="2"/>
    </row>
    <row r="317" spans="10:10" s="28" customFormat="1" ht="13.9" customHeight="1" x14ac:dyDescent="0.2">
      <c r="J317" s="2"/>
    </row>
    <row r="318" spans="10:10" s="28" customFormat="1" ht="13.9" customHeight="1" x14ac:dyDescent="0.2">
      <c r="J318" s="2"/>
    </row>
    <row r="319" spans="10:10" s="28" customFormat="1" ht="13.9" customHeight="1" x14ac:dyDescent="0.2">
      <c r="J319" s="2"/>
    </row>
    <row r="320" spans="10:10" s="28" customFormat="1" ht="13.9" customHeight="1" x14ac:dyDescent="0.2">
      <c r="J320" s="2"/>
    </row>
    <row r="321" spans="10:10" s="28" customFormat="1" ht="13.9" customHeight="1" x14ac:dyDescent="0.2">
      <c r="J321" s="2"/>
    </row>
    <row r="322" spans="10:10" s="28" customFormat="1" ht="13.9" customHeight="1" x14ac:dyDescent="0.2">
      <c r="J322" s="2"/>
    </row>
    <row r="323" spans="10:10" s="28" customFormat="1" ht="13.9" customHeight="1" x14ac:dyDescent="0.2">
      <c r="J323" s="2"/>
    </row>
    <row r="324" spans="10:10" s="28" customFormat="1" ht="13.9" customHeight="1" x14ac:dyDescent="0.2">
      <c r="J324" s="2"/>
    </row>
    <row r="325" spans="10:10" s="28" customFormat="1" ht="13.9" customHeight="1" x14ac:dyDescent="0.2">
      <c r="J325" s="2"/>
    </row>
    <row r="326" spans="10:10" s="28" customFormat="1" ht="13.9" customHeight="1" x14ac:dyDescent="0.2">
      <c r="J326" s="2"/>
    </row>
    <row r="327" spans="10:10" s="28" customFormat="1" ht="13.9" customHeight="1" x14ac:dyDescent="0.2">
      <c r="J327" s="2"/>
    </row>
    <row r="328" spans="10:10" s="28" customFormat="1" ht="13.9" customHeight="1" x14ac:dyDescent="0.2">
      <c r="J328" s="2"/>
    </row>
    <row r="329" spans="10:10" s="28" customFormat="1" ht="13.9" customHeight="1" x14ac:dyDescent="0.2">
      <c r="J329" s="2"/>
    </row>
    <row r="330" spans="10:10" s="28" customFormat="1" ht="13.9" customHeight="1" x14ac:dyDescent="0.2">
      <c r="J330" s="2"/>
    </row>
    <row r="331" spans="10:10" s="28" customFormat="1" ht="13.9" customHeight="1" x14ac:dyDescent="0.2">
      <c r="J331" s="2"/>
    </row>
    <row r="332" spans="10:10" s="28" customFormat="1" ht="13.9" customHeight="1" x14ac:dyDescent="0.2">
      <c r="J332" s="2"/>
    </row>
    <row r="333" spans="10:10" s="28" customFormat="1" ht="13.9" customHeight="1" x14ac:dyDescent="0.2">
      <c r="J333" s="2"/>
    </row>
    <row r="334" spans="10:10" s="28" customFormat="1" ht="13.9" customHeight="1" x14ac:dyDescent="0.2">
      <c r="J334" s="2"/>
    </row>
    <row r="335" spans="10:10" s="28" customFormat="1" ht="13.9" customHeight="1" x14ac:dyDescent="0.2">
      <c r="J335" s="2"/>
    </row>
    <row r="336" spans="10:10" s="28" customFormat="1" ht="13.9" customHeight="1" x14ac:dyDescent="0.2">
      <c r="J336" s="2"/>
    </row>
    <row r="337" spans="10:10" s="28" customFormat="1" ht="13.9" customHeight="1" x14ac:dyDescent="0.2">
      <c r="J337" s="2"/>
    </row>
    <row r="338" spans="10:10" s="28" customFormat="1" ht="13.9" customHeight="1" x14ac:dyDescent="0.2">
      <c r="J338" s="2"/>
    </row>
    <row r="339" spans="10:10" s="28" customFormat="1" ht="13.9" customHeight="1" x14ac:dyDescent="0.2">
      <c r="J339" s="2"/>
    </row>
    <row r="340" spans="10:10" s="28" customFormat="1" ht="13.9" customHeight="1" x14ac:dyDescent="0.2">
      <c r="J340" s="2"/>
    </row>
    <row r="341" spans="10:10" s="28" customFormat="1" ht="13.9" customHeight="1" x14ac:dyDescent="0.2">
      <c r="J341" s="2"/>
    </row>
    <row r="342" spans="10:10" s="28" customFormat="1" ht="13.9" customHeight="1" x14ac:dyDescent="0.2">
      <c r="J342" s="2"/>
    </row>
    <row r="343" spans="10:10" s="28" customFormat="1" ht="13.9" customHeight="1" x14ac:dyDescent="0.2">
      <c r="J343" s="2"/>
    </row>
    <row r="344" spans="10:10" s="28" customFormat="1" ht="13.9" customHeight="1" x14ac:dyDescent="0.2">
      <c r="J344" s="2"/>
    </row>
    <row r="345" spans="10:10" s="28" customFormat="1" ht="13.9" customHeight="1" x14ac:dyDescent="0.2">
      <c r="J345" s="2"/>
    </row>
    <row r="346" spans="10:10" s="28" customFormat="1" ht="13.9" customHeight="1" x14ac:dyDescent="0.2">
      <c r="J346" s="2"/>
    </row>
    <row r="347" spans="10:10" s="28" customFormat="1" ht="13.9" customHeight="1" x14ac:dyDescent="0.2">
      <c r="J347" s="2"/>
    </row>
    <row r="348" spans="10:10" s="28" customFormat="1" ht="13.9" customHeight="1" x14ac:dyDescent="0.2">
      <c r="J348" s="2"/>
    </row>
    <row r="349" spans="10:10" s="28" customFormat="1" ht="13.9" customHeight="1" x14ac:dyDescent="0.2">
      <c r="J349" s="2"/>
    </row>
    <row r="350" spans="10:10" s="28" customFormat="1" ht="13.9" customHeight="1" x14ac:dyDescent="0.2">
      <c r="J350" s="2"/>
    </row>
    <row r="351" spans="10:10" s="28" customFormat="1" ht="13.9" customHeight="1" x14ac:dyDescent="0.2">
      <c r="J351" s="2"/>
    </row>
    <row r="352" spans="10:10" s="28" customFormat="1" ht="13.9" customHeight="1" x14ac:dyDescent="0.2">
      <c r="J352" s="2"/>
    </row>
    <row r="353" spans="10:10" s="28" customFormat="1" ht="13.9" customHeight="1" x14ac:dyDescent="0.2">
      <c r="J353" s="2"/>
    </row>
    <row r="354" spans="10:10" s="28" customFormat="1" ht="13.9" customHeight="1" x14ac:dyDescent="0.2">
      <c r="J354" s="2"/>
    </row>
    <row r="355" spans="10:10" s="28" customFormat="1" ht="13.9" customHeight="1" x14ac:dyDescent="0.2">
      <c r="J355" s="2"/>
    </row>
    <row r="356" spans="10:10" s="28" customFormat="1" ht="13.9" customHeight="1" x14ac:dyDescent="0.2">
      <c r="J356" s="2"/>
    </row>
    <row r="357" spans="10:10" s="28" customFormat="1" ht="13.9" customHeight="1" x14ac:dyDescent="0.2">
      <c r="J357" s="2"/>
    </row>
    <row r="358" spans="10:10" s="28" customFormat="1" ht="13.9" customHeight="1" x14ac:dyDescent="0.2">
      <c r="J358" s="2"/>
    </row>
    <row r="359" spans="10:10" s="28" customFormat="1" ht="13.9" customHeight="1" x14ac:dyDescent="0.2">
      <c r="J359" s="2"/>
    </row>
    <row r="360" spans="10:10" s="28" customFormat="1" ht="13.9" customHeight="1" x14ac:dyDescent="0.2">
      <c r="J360" s="2"/>
    </row>
    <row r="361" spans="10:10" s="28" customFormat="1" ht="13.9" customHeight="1" x14ac:dyDescent="0.2">
      <c r="J361" s="2"/>
    </row>
    <row r="362" spans="10:10" s="28" customFormat="1" ht="13.9" customHeight="1" x14ac:dyDescent="0.2">
      <c r="J362" s="2"/>
    </row>
    <row r="363" spans="10:10" s="28" customFormat="1" ht="13.9" customHeight="1" x14ac:dyDescent="0.2">
      <c r="J363" s="2"/>
    </row>
    <row r="364" spans="10:10" s="28" customFormat="1" ht="13.9" customHeight="1" x14ac:dyDescent="0.2">
      <c r="J364" s="2"/>
    </row>
    <row r="365" spans="10:10" s="28" customFormat="1" ht="13.9" customHeight="1" x14ac:dyDescent="0.2">
      <c r="J365" s="2"/>
    </row>
    <row r="366" spans="10:10" s="28" customFormat="1" ht="13.9" customHeight="1" x14ac:dyDescent="0.2">
      <c r="J366" s="2"/>
    </row>
    <row r="367" spans="10:10" s="28" customFormat="1" ht="13.9" customHeight="1" x14ac:dyDescent="0.2">
      <c r="J367" s="2"/>
    </row>
    <row r="368" spans="10:10" s="28" customFormat="1" ht="13.9" customHeight="1" x14ac:dyDescent="0.2">
      <c r="J368" s="2"/>
    </row>
    <row r="369" spans="10:10" s="28" customFormat="1" ht="13.9" customHeight="1" x14ac:dyDescent="0.2">
      <c r="J369" s="2"/>
    </row>
    <row r="370" spans="10:10" s="28" customFormat="1" ht="13.9" customHeight="1" x14ac:dyDescent="0.2">
      <c r="J370" s="2"/>
    </row>
    <row r="371" spans="10:10" s="28" customFormat="1" ht="13.9" customHeight="1" x14ac:dyDescent="0.2">
      <c r="J371" s="2"/>
    </row>
    <row r="372" spans="10:10" s="28" customFormat="1" ht="13.9" customHeight="1" x14ac:dyDescent="0.2">
      <c r="J372" s="2"/>
    </row>
    <row r="373" spans="10:10" s="28" customFormat="1" ht="13.9" customHeight="1" x14ac:dyDescent="0.2">
      <c r="J373" s="2"/>
    </row>
    <row r="374" spans="10:10" s="28" customFormat="1" ht="13.9" customHeight="1" x14ac:dyDescent="0.2">
      <c r="J374" s="2"/>
    </row>
    <row r="375" spans="10:10" s="28" customFormat="1" ht="13.9" customHeight="1" x14ac:dyDescent="0.2">
      <c r="J375" s="2"/>
    </row>
    <row r="376" spans="10:10" s="28" customFormat="1" ht="13.9" customHeight="1" x14ac:dyDescent="0.2">
      <c r="J376" s="2"/>
    </row>
    <row r="377" spans="10:10" s="28" customFormat="1" ht="13.9" customHeight="1" x14ac:dyDescent="0.2">
      <c r="J377" s="2"/>
    </row>
    <row r="378" spans="10:10" s="28" customFormat="1" ht="13.9" customHeight="1" x14ac:dyDescent="0.2">
      <c r="J378" s="2"/>
    </row>
    <row r="379" spans="10:10" s="28" customFormat="1" ht="13.9" customHeight="1" x14ac:dyDescent="0.2">
      <c r="J379" s="2"/>
    </row>
    <row r="380" spans="10:10" s="28" customFormat="1" ht="13.9" customHeight="1" x14ac:dyDescent="0.2">
      <c r="J380" s="2"/>
    </row>
    <row r="381" spans="10:10" s="28" customFormat="1" ht="13.9" customHeight="1" x14ac:dyDescent="0.2">
      <c r="J381" s="2"/>
    </row>
    <row r="382" spans="10:10" s="28" customFormat="1" ht="13.9" customHeight="1" x14ac:dyDescent="0.2">
      <c r="J382" s="2"/>
    </row>
    <row r="383" spans="10:10" s="28" customFormat="1" ht="13.9" customHeight="1" x14ac:dyDescent="0.2">
      <c r="J383" s="2"/>
    </row>
    <row r="384" spans="10:10" s="28" customFormat="1" ht="13.9" customHeight="1" x14ac:dyDescent="0.2">
      <c r="J384" s="2"/>
    </row>
    <row r="385" spans="10:10" s="28" customFormat="1" ht="13.9" customHeight="1" x14ac:dyDescent="0.2">
      <c r="J385" s="2"/>
    </row>
    <row r="386" spans="10:10" s="28" customFormat="1" ht="13.9" customHeight="1" x14ac:dyDescent="0.2">
      <c r="J386" s="2"/>
    </row>
    <row r="387" spans="10:10" s="28" customFormat="1" ht="13.9" customHeight="1" x14ac:dyDescent="0.2">
      <c r="J387" s="2"/>
    </row>
    <row r="388" spans="10:10" s="28" customFormat="1" ht="13.9" customHeight="1" x14ac:dyDescent="0.2">
      <c r="J388" s="2"/>
    </row>
    <row r="389" spans="10:10" s="28" customFormat="1" ht="13.9" customHeight="1" x14ac:dyDescent="0.2">
      <c r="J389" s="2"/>
    </row>
    <row r="390" spans="10:10" s="28" customFormat="1" ht="13.9" customHeight="1" x14ac:dyDescent="0.2">
      <c r="J390" s="2"/>
    </row>
    <row r="391" spans="10:10" s="28" customFormat="1" ht="13.9" customHeight="1" x14ac:dyDescent="0.2">
      <c r="J391" s="2"/>
    </row>
    <row r="392" spans="10:10" s="28" customFormat="1" ht="13.9" customHeight="1" x14ac:dyDescent="0.2">
      <c r="J392" s="2"/>
    </row>
    <row r="393" spans="10:10" s="28" customFormat="1" ht="13.9" customHeight="1" x14ac:dyDescent="0.2">
      <c r="J393" s="2"/>
    </row>
    <row r="394" spans="10:10" s="28" customFormat="1" ht="13.9" customHeight="1" x14ac:dyDescent="0.2">
      <c r="J394" s="2"/>
    </row>
    <row r="395" spans="10:10" s="28" customFormat="1" ht="13.9" customHeight="1" x14ac:dyDescent="0.2">
      <c r="J395" s="2"/>
    </row>
    <row r="396" spans="10:10" s="28" customFormat="1" ht="13.9" customHeight="1" x14ac:dyDescent="0.2">
      <c r="J396" s="2"/>
    </row>
    <row r="397" spans="10:10" s="28" customFormat="1" ht="13.9" customHeight="1" x14ac:dyDescent="0.2">
      <c r="J397" s="2"/>
    </row>
    <row r="398" spans="10:10" s="28" customFormat="1" ht="13.9" customHeight="1" x14ac:dyDescent="0.2">
      <c r="J398" s="2"/>
    </row>
    <row r="399" spans="10:10" s="28" customFormat="1" ht="13.9" customHeight="1" x14ac:dyDescent="0.2">
      <c r="J399" s="2"/>
    </row>
    <row r="400" spans="10:10" s="28" customFormat="1" ht="13.9" customHeight="1" x14ac:dyDescent="0.2">
      <c r="J400" s="2"/>
    </row>
    <row r="401" spans="10:10" s="28" customFormat="1" ht="13.9" customHeight="1" x14ac:dyDescent="0.2">
      <c r="J401" s="2"/>
    </row>
    <row r="402" spans="10:10" s="28" customFormat="1" ht="13.9" customHeight="1" x14ac:dyDescent="0.2">
      <c r="J402" s="2"/>
    </row>
    <row r="403" spans="10:10" s="28" customFormat="1" ht="13.9" customHeight="1" x14ac:dyDescent="0.2">
      <c r="J403" s="2"/>
    </row>
    <row r="404" spans="10:10" s="28" customFormat="1" ht="13.9" customHeight="1" x14ac:dyDescent="0.2">
      <c r="J404" s="2"/>
    </row>
    <row r="405" spans="10:10" s="28" customFormat="1" ht="13.9" customHeight="1" x14ac:dyDescent="0.2">
      <c r="J405" s="2"/>
    </row>
    <row r="406" spans="10:10" s="28" customFormat="1" ht="13.9" customHeight="1" x14ac:dyDescent="0.2">
      <c r="J406" s="2"/>
    </row>
    <row r="407" spans="10:10" s="28" customFormat="1" ht="13.9" customHeight="1" x14ac:dyDescent="0.2">
      <c r="J407" s="2"/>
    </row>
    <row r="408" spans="10:10" s="28" customFormat="1" ht="13.9" customHeight="1" x14ac:dyDescent="0.2">
      <c r="J408" s="2"/>
    </row>
    <row r="409" spans="10:10" s="28" customFormat="1" ht="13.9" customHeight="1" x14ac:dyDescent="0.2">
      <c r="J409" s="2"/>
    </row>
    <row r="410" spans="10:10" s="28" customFormat="1" ht="13.9" customHeight="1" x14ac:dyDescent="0.2">
      <c r="J410" s="2"/>
    </row>
    <row r="411" spans="10:10" s="28" customFormat="1" ht="13.9" customHeight="1" x14ac:dyDescent="0.2">
      <c r="J411" s="2"/>
    </row>
    <row r="412" spans="10:10" s="28" customFormat="1" ht="13.9" customHeight="1" x14ac:dyDescent="0.2">
      <c r="J412" s="2"/>
    </row>
    <row r="413" spans="10:10" s="28" customFormat="1" ht="13.9" customHeight="1" x14ac:dyDescent="0.2">
      <c r="J413" s="2"/>
    </row>
    <row r="414" spans="10:10" s="28" customFormat="1" ht="13.9" customHeight="1" x14ac:dyDescent="0.2">
      <c r="J414" s="2"/>
    </row>
    <row r="415" spans="10:10" s="28" customFormat="1" ht="13.9" customHeight="1" x14ac:dyDescent="0.2">
      <c r="J415" s="2"/>
    </row>
    <row r="416" spans="10:10" s="28" customFormat="1" ht="13.9" customHeight="1" x14ac:dyDescent="0.2">
      <c r="J416" s="2"/>
    </row>
    <row r="417" spans="10:10" s="28" customFormat="1" ht="13.9" customHeight="1" x14ac:dyDescent="0.2">
      <c r="J417" s="2"/>
    </row>
    <row r="418" spans="10:10" s="28" customFormat="1" ht="13.9" customHeight="1" x14ac:dyDescent="0.2">
      <c r="J418" s="2"/>
    </row>
    <row r="419" spans="10:10" s="28" customFormat="1" ht="13.9" customHeight="1" x14ac:dyDescent="0.2">
      <c r="J419" s="2"/>
    </row>
    <row r="420" spans="10:10" s="28" customFormat="1" ht="13.9" customHeight="1" x14ac:dyDescent="0.2">
      <c r="J420" s="2"/>
    </row>
    <row r="421" spans="10:10" s="28" customFormat="1" ht="13.9" customHeight="1" x14ac:dyDescent="0.2">
      <c r="J421" s="2"/>
    </row>
    <row r="422" spans="10:10" s="28" customFormat="1" ht="13.9" customHeight="1" x14ac:dyDescent="0.2">
      <c r="J422" s="2"/>
    </row>
    <row r="423" spans="10:10" s="28" customFormat="1" ht="13.9" customHeight="1" x14ac:dyDescent="0.2">
      <c r="J423" s="2"/>
    </row>
    <row r="424" spans="10:10" s="28" customFormat="1" ht="13.9" customHeight="1" x14ac:dyDescent="0.2">
      <c r="J424" s="2"/>
    </row>
    <row r="425" spans="10:10" s="28" customFormat="1" ht="13.9" customHeight="1" x14ac:dyDescent="0.2">
      <c r="J425" s="2"/>
    </row>
    <row r="426" spans="10:10" s="28" customFormat="1" ht="13.9" customHeight="1" x14ac:dyDescent="0.2">
      <c r="J426" s="2"/>
    </row>
    <row r="427" spans="10:10" s="28" customFormat="1" ht="13.9" customHeight="1" x14ac:dyDescent="0.2">
      <c r="J427" s="2"/>
    </row>
    <row r="428" spans="10:10" s="28" customFormat="1" ht="13.9" customHeight="1" x14ac:dyDescent="0.2">
      <c r="J428" s="2"/>
    </row>
    <row r="429" spans="10:10" s="28" customFormat="1" ht="13.9" customHeight="1" x14ac:dyDescent="0.2">
      <c r="J429" s="2"/>
    </row>
    <row r="430" spans="10:10" s="28" customFormat="1" ht="13.9" customHeight="1" x14ac:dyDescent="0.2">
      <c r="J430" s="2"/>
    </row>
    <row r="431" spans="10:10" s="28" customFormat="1" ht="13.9" customHeight="1" x14ac:dyDescent="0.2">
      <c r="J431" s="2"/>
    </row>
    <row r="432" spans="10:10" s="28" customFormat="1" ht="13.9" customHeight="1" x14ac:dyDescent="0.2">
      <c r="J432" s="2"/>
    </row>
    <row r="433" spans="10:10" s="28" customFormat="1" ht="13.9" customHeight="1" x14ac:dyDescent="0.2">
      <c r="J433" s="2"/>
    </row>
    <row r="434" spans="10:10" s="28" customFormat="1" ht="13.9" customHeight="1" x14ac:dyDescent="0.2">
      <c r="J434" s="2"/>
    </row>
    <row r="435" spans="10:10" s="28" customFormat="1" ht="13.9" customHeight="1" x14ac:dyDescent="0.2">
      <c r="J435" s="2"/>
    </row>
    <row r="436" spans="10:10" s="28" customFormat="1" ht="13.9" customHeight="1" x14ac:dyDescent="0.2">
      <c r="J436" s="2"/>
    </row>
    <row r="437" spans="10:10" s="28" customFormat="1" ht="13.9" customHeight="1" x14ac:dyDescent="0.2">
      <c r="J437" s="2"/>
    </row>
    <row r="438" spans="10:10" s="28" customFormat="1" ht="13.9" customHeight="1" x14ac:dyDescent="0.2">
      <c r="J438" s="2"/>
    </row>
    <row r="439" spans="10:10" s="28" customFormat="1" ht="13.9" customHeight="1" x14ac:dyDescent="0.2">
      <c r="J439" s="2"/>
    </row>
    <row r="440" spans="10:10" s="28" customFormat="1" ht="13.9" customHeight="1" x14ac:dyDescent="0.2">
      <c r="J440" s="2"/>
    </row>
    <row r="441" spans="10:10" s="28" customFormat="1" ht="13.9" customHeight="1" x14ac:dyDescent="0.2">
      <c r="J441" s="2"/>
    </row>
    <row r="442" spans="10:10" s="28" customFormat="1" ht="13.9" customHeight="1" x14ac:dyDescent="0.2">
      <c r="J442" s="2"/>
    </row>
    <row r="443" spans="10:10" s="28" customFormat="1" ht="13.9" customHeight="1" x14ac:dyDescent="0.2">
      <c r="J443" s="2"/>
    </row>
    <row r="444" spans="10:10" s="28" customFormat="1" ht="13.9" customHeight="1" x14ac:dyDescent="0.2">
      <c r="J444" s="2"/>
    </row>
    <row r="445" spans="10:10" s="28" customFormat="1" ht="13.9" customHeight="1" x14ac:dyDescent="0.2">
      <c r="J445" s="2"/>
    </row>
    <row r="446" spans="10:10" s="28" customFormat="1" ht="13.9" customHeight="1" x14ac:dyDescent="0.2">
      <c r="J446" s="2"/>
    </row>
    <row r="447" spans="10:10" s="28" customFormat="1" ht="13.9" customHeight="1" x14ac:dyDescent="0.2">
      <c r="J447" s="2"/>
    </row>
    <row r="448" spans="10:10" s="28" customFormat="1" ht="13.9" customHeight="1" x14ac:dyDescent="0.2">
      <c r="J448" s="2"/>
    </row>
    <row r="449" spans="10:10" s="28" customFormat="1" ht="13.9" customHeight="1" x14ac:dyDescent="0.2">
      <c r="J449" s="2"/>
    </row>
    <row r="450" spans="10:10" s="28" customFormat="1" ht="13.9" customHeight="1" x14ac:dyDescent="0.2">
      <c r="J450" s="2"/>
    </row>
    <row r="451" spans="10:10" s="28" customFormat="1" ht="13.9" customHeight="1" x14ac:dyDescent="0.2">
      <c r="J451" s="2"/>
    </row>
    <row r="452" spans="10:10" s="28" customFormat="1" ht="13.9" customHeight="1" x14ac:dyDescent="0.2">
      <c r="J452" s="2"/>
    </row>
    <row r="453" spans="10:10" s="28" customFormat="1" ht="13.9" customHeight="1" x14ac:dyDescent="0.2">
      <c r="J453" s="2"/>
    </row>
    <row r="454" spans="10:10" s="28" customFormat="1" ht="13.9" customHeight="1" x14ac:dyDescent="0.2">
      <c r="J454" s="2"/>
    </row>
    <row r="455" spans="10:10" s="28" customFormat="1" ht="13.9" customHeight="1" x14ac:dyDescent="0.2">
      <c r="J455" s="2"/>
    </row>
    <row r="456" spans="10:10" s="28" customFormat="1" ht="13.9" customHeight="1" x14ac:dyDescent="0.2">
      <c r="J456" s="2"/>
    </row>
    <row r="457" spans="10:10" s="28" customFormat="1" ht="13.9" customHeight="1" x14ac:dyDescent="0.2">
      <c r="J457" s="2"/>
    </row>
    <row r="458" spans="10:10" s="28" customFormat="1" ht="13.9" customHeight="1" x14ac:dyDescent="0.2">
      <c r="J458" s="2"/>
    </row>
    <row r="459" spans="10:10" s="28" customFormat="1" ht="13.9" customHeight="1" x14ac:dyDescent="0.2">
      <c r="J459" s="2"/>
    </row>
    <row r="460" spans="10:10" s="28" customFormat="1" ht="13.9" customHeight="1" x14ac:dyDescent="0.2">
      <c r="J460" s="2"/>
    </row>
    <row r="461" spans="10:10" s="28" customFormat="1" ht="13.9" customHeight="1" x14ac:dyDescent="0.2">
      <c r="J461" s="2"/>
    </row>
    <row r="462" spans="10:10" s="28" customFormat="1" ht="13.9" customHeight="1" x14ac:dyDescent="0.2">
      <c r="J462" s="2"/>
    </row>
    <row r="463" spans="10:10" s="28" customFormat="1" ht="13.9" customHeight="1" x14ac:dyDescent="0.2">
      <c r="J463" s="2"/>
    </row>
    <row r="464" spans="10:10" s="28" customFormat="1" ht="13.9" customHeight="1" x14ac:dyDescent="0.2">
      <c r="J464" s="2"/>
    </row>
    <row r="465" spans="10:10" s="28" customFormat="1" ht="13.9" customHeight="1" x14ac:dyDescent="0.2">
      <c r="J465" s="2"/>
    </row>
    <row r="466" spans="10:10" s="28" customFormat="1" ht="13.9" customHeight="1" x14ac:dyDescent="0.2">
      <c r="J466" s="2"/>
    </row>
    <row r="467" spans="10:10" s="28" customFormat="1" ht="13.9" customHeight="1" x14ac:dyDescent="0.2">
      <c r="J467" s="2"/>
    </row>
    <row r="468" spans="10:10" s="28" customFormat="1" ht="13.9" customHeight="1" x14ac:dyDescent="0.2">
      <c r="J468" s="2"/>
    </row>
    <row r="469" spans="10:10" s="28" customFormat="1" ht="13.9" customHeight="1" x14ac:dyDescent="0.2">
      <c r="J469" s="2"/>
    </row>
  </sheetData>
  <sheetProtection algorithmName="SHA-512" hashValue="UMh5PtWpFnUHX63bHr36OCF9v2tBD+M+Gq/u27pFhjXggTqscvc2k0it+c3iLDDS9f3jw9qhdpJOQAIEuzzQSQ==" saltValue="9MVl/qt7ZZz6K0z3rUcOKg==" spinCount="100000" sheet="1" objects="1" scenarios="1"/>
  <mergeCells count="40">
    <mergeCell ref="S58:T58"/>
    <mergeCell ref="K61:L61"/>
    <mergeCell ref="N64:O64"/>
    <mergeCell ref="K66:L66"/>
    <mergeCell ref="K15:L15"/>
    <mergeCell ref="K16:L16"/>
    <mergeCell ref="K24:L24"/>
    <mergeCell ref="M52:M53"/>
    <mergeCell ref="P52:P53"/>
    <mergeCell ref="K53:L53"/>
    <mergeCell ref="N53:O53"/>
    <mergeCell ref="K55:K56"/>
    <mergeCell ref="K58:K59"/>
    <mergeCell ref="P58:Q58"/>
    <mergeCell ref="L59:M59"/>
    <mergeCell ref="K41:K42"/>
    <mergeCell ref="K45:K46"/>
    <mergeCell ref="P45:Q45"/>
    <mergeCell ref="L46:M46"/>
    <mergeCell ref="O46:P46"/>
    <mergeCell ref="K48:L48"/>
    <mergeCell ref="K26:L26"/>
    <mergeCell ref="M31:N31"/>
    <mergeCell ref="Q31:R31"/>
    <mergeCell ref="K34:L34"/>
    <mergeCell ref="L38:L39"/>
    <mergeCell ref="O38:O39"/>
    <mergeCell ref="M39:N39"/>
    <mergeCell ref="K22:L22"/>
    <mergeCell ref="A1:X1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20:L20"/>
  </mergeCells>
  <printOptions horizontalCentered="1" gridLines="1"/>
  <pageMargins left="0.7" right="0.7" top="0.75" bottom="0.75" header="0.3" footer="0.3"/>
  <pageSetup orientation="portrait" r:id="rId1"/>
  <headerFooter>
    <oddFooter>&amp;CPage &amp;P+7 of 9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53"/>
  <sheetViews>
    <sheetView zoomScale="115" zoomScaleNormal="115" workbookViewId="0">
      <selection activeCell="AD20" sqref="AD20"/>
    </sheetView>
  </sheetViews>
  <sheetFormatPr defaultColWidth="8.85546875" defaultRowHeight="12.75" x14ac:dyDescent="0.2"/>
  <cols>
    <col min="1" max="29" width="3.28515625" style="124" customWidth="1"/>
    <col min="30" max="16384" width="8.85546875" style="124"/>
  </cols>
  <sheetData>
    <row r="1" spans="1:27" s="129" customFormat="1" ht="18" x14ac:dyDescent="0.25">
      <c r="A1" s="187" t="s">
        <v>142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32"/>
    </row>
    <row r="2" spans="1:27" x14ac:dyDescent="0.2">
      <c r="A2" s="133"/>
      <c r="AA2" s="134"/>
    </row>
    <row r="3" spans="1:27" s="130" customFormat="1" ht="15.75" x14ac:dyDescent="0.2">
      <c r="A3" s="135" t="s">
        <v>147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AA3" s="138"/>
    </row>
    <row r="4" spans="1:27" s="130" customFormat="1" ht="15.75" x14ac:dyDescent="0.2">
      <c r="A4" s="13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AA4" s="138"/>
    </row>
    <row r="5" spans="1:27" s="130" customFormat="1" ht="15.75" x14ac:dyDescent="0.2">
      <c r="A5" s="137"/>
      <c r="I5" s="81" t="s">
        <v>124</v>
      </c>
      <c r="AA5" s="138"/>
    </row>
    <row r="6" spans="1:27" ht="15.75" x14ac:dyDescent="0.2">
      <c r="A6" s="133"/>
      <c r="C6" s="81"/>
      <c r="AA6" s="134"/>
    </row>
    <row r="7" spans="1:27" x14ac:dyDescent="0.2">
      <c r="A7" s="133"/>
      <c r="AA7" s="134"/>
    </row>
    <row r="8" spans="1:27" ht="15.75" x14ac:dyDescent="0.2">
      <c r="A8" s="136" t="s">
        <v>148</v>
      </c>
      <c r="B8" s="126"/>
      <c r="C8" s="126"/>
      <c r="E8" s="126"/>
      <c r="F8" s="131"/>
      <c r="G8" s="125"/>
      <c r="H8" s="126"/>
      <c r="I8" s="126"/>
      <c r="J8" s="126"/>
      <c r="K8" s="126"/>
      <c r="L8" s="125"/>
      <c r="M8" s="126"/>
      <c r="N8" s="126"/>
      <c r="O8" s="126"/>
      <c r="P8" s="125" t="s">
        <v>143</v>
      </c>
      <c r="Q8" s="126"/>
      <c r="R8" s="126"/>
      <c r="S8" s="126"/>
      <c r="T8" s="126"/>
      <c r="U8" s="126"/>
      <c r="V8" s="126"/>
      <c r="W8" s="126"/>
      <c r="X8" s="126"/>
      <c r="AA8" s="134"/>
    </row>
    <row r="9" spans="1:27" x14ac:dyDescent="0.2">
      <c r="A9" s="133"/>
      <c r="AA9" s="134"/>
    </row>
    <row r="10" spans="1:27" x14ac:dyDescent="0.2">
      <c r="A10" s="133"/>
      <c r="AA10" s="134"/>
    </row>
    <row r="11" spans="1:27" ht="15.75" x14ac:dyDescent="0.2">
      <c r="A11" s="136" t="s">
        <v>149</v>
      </c>
      <c r="B11" s="126"/>
      <c r="C11" s="126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26"/>
      <c r="X11" s="126"/>
      <c r="AA11" s="134"/>
    </row>
    <row r="12" spans="1:27" x14ac:dyDescent="0.2">
      <c r="A12" s="133"/>
      <c r="AA12" s="134"/>
    </row>
    <row r="13" spans="1:27" ht="15.75" x14ac:dyDescent="0.2">
      <c r="A13" s="133"/>
      <c r="B13" s="128" t="s">
        <v>136</v>
      </c>
      <c r="AA13" s="134"/>
    </row>
    <row r="14" spans="1:27" x14ac:dyDescent="0.2">
      <c r="A14" s="133"/>
      <c r="B14" s="127"/>
      <c r="AA14" s="134"/>
    </row>
    <row r="15" spans="1:27" ht="15.75" x14ac:dyDescent="0.2">
      <c r="A15" s="133"/>
      <c r="B15" s="128" t="s">
        <v>144</v>
      </c>
      <c r="AA15" s="134"/>
    </row>
    <row r="16" spans="1:27" x14ac:dyDescent="0.2">
      <c r="A16" s="133"/>
      <c r="B16" s="127"/>
      <c r="AA16" s="134"/>
    </row>
    <row r="17" spans="1:27" ht="15.75" x14ac:dyDescent="0.2">
      <c r="A17" s="133"/>
      <c r="B17" s="128" t="s">
        <v>145</v>
      </c>
      <c r="AA17" s="134"/>
    </row>
    <row r="18" spans="1:27" x14ac:dyDescent="0.2">
      <c r="A18" s="133"/>
      <c r="B18" s="127"/>
      <c r="AA18" s="134"/>
    </row>
    <row r="19" spans="1:27" ht="15.75" x14ac:dyDescent="0.2">
      <c r="A19" s="133"/>
      <c r="B19" s="128" t="s">
        <v>146</v>
      </c>
      <c r="AA19" s="134"/>
    </row>
    <row r="20" spans="1:27" x14ac:dyDescent="0.2">
      <c r="A20" s="133"/>
      <c r="AA20" s="134"/>
    </row>
    <row r="21" spans="1:27" x14ac:dyDescent="0.2">
      <c r="A21" s="133"/>
      <c r="AA21" s="134"/>
    </row>
    <row r="22" spans="1:27" x14ac:dyDescent="0.2">
      <c r="A22" s="133"/>
      <c r="AA22" s="134"/>
    </row>
    <row r="23" spans="1:27" x14ac:dyDescent="0.2">
      <c r="A23" s="133"/>
      <c r="AA23" s="134"/>
    </row>
    <row r="24" spans="1:27" x14ac:dyDescent="0.2">
      <c r="A24" s="133"/>
      <c r="AA24" s="134"/>
    </row>
    <row r="25" spans="1:27" x14ac:dyDescent="0.2">
      <c r="A25" s="133"/>
      <c r="AA25" s="134"/>
    </row>
    <row r="26" spans="1:27" x14ac:dyDescent="0.2">
      <c r="A26" s="133"/>
      <c r="AA26" s="134"/>
    </row>
    <row r="27" spans="1:27" x14ac:dyDescent="0.2">
      <c r="A27" s="133"/>
      <c r="AA27" s="134"/>
    </row>
    <row r="28" spans="1:27" x14ac:dyDescent="0.2">
      <c r="A28" s="133"/>
      <c r="AA28" s="134"/>
    </row>
    <row r="29" spans="1:27" x14ac:dyDescent="0.2">
      <c r="A29" s="133"/>
      <c r="AA29" s="134"/>
    </row>
    <row r="30" spans="1:27" x14ac:dyDescent="0.2">
      <c r="A30" s="133"/>
      <c r="AA30" s="134"/>
    </row>
    <row r="31" spans="1:27" x14ac:dyDescent="0.2">
      <c r="A31" s="133"/>
      <c r="AA31" s="134"/>
    </row>
    <row r="32" spans="1:27" x14ac:dyDescent="0.2">
      <c r="A32" s="133"/>
      <c r="AA32" s="134"/>
    </row>
    <row r="33" spans="1:27" x14ac:dyDescent="0.2">
      <c r="A33" s="133"/>
      <c r="AA33" s="134"/>
    </row>
    <row r="34" spans="1:27" x14ac:dyDescent="0.2">
      <c r="A34" s="133"/>
      <c r="AA34" s="134"/>
    </row>
    <row r="35" spans="1:27" x14ac:dyDescent="0.2">
      <c r="A35" s="133"/>
      <c r="AA35" s="134"/>
    </row>
    <row r="36" spans="1:27" x14ac:dyDescent="0.2">
      <c r="A36" s="133"/>
      <c r="AA36" s="134"/>
    </row>
    <row r="37" spans="1:27" x14ac:dyDescent="0.2">
      <c r="A37" s="133"/>
      <c r="AA37" s="134"/>
    </row>
    <row r="38" spans="1:27" x14ac:dyDescent="0.2">
      <c r="A38" s="133"/>
      <c r="AA38" s="134"/>
    </row>
    <row r="39" spans="1:27" x14ac:dyDescent="0.2">
      <c r="A39" s="133"/>
      <c r="AA39" s="134"/>
    </row>
    <row r="40" spans="1:27" x14ac:dyDescent="0.2">
      <c r="A40" s="133"/>
      <c r="AA40" s="134"/>
    </row>
    <row r="41" spans="1:27" x14ac:dyDescent="0.2">
      <c r="A41" s="133"/>
      <c r="AA41" s="134"/>
    </row>
    <row r="42" spans="1:27" x14ac:dyDescent="0.2">
      <c r="A42" s="133"/>
      <c r="AA42" s="134"/>
    </row>
    <row r="43" spans="1:27" x14ac:dyDescent="0.2">
      <c r="A43" s="133"/>
      <c r="AA43" s="134"/>
    </row>
    <row r="44" spans="1:27" x14ac:dyDescent="0.2">
      <c r="A44" s="133"/>
      <c r="AA44" s="134"/>
    </row>
    <row r="45" spans="1:27" x14ac:dyDescent="0.2">
      <c r="A45" s="133"/>
      <c r="AA45" s="134"/>
    </row>
    <row r="46" spans="1:27" x14ac:dyDescent="0.2">
      <c r="A46" s="133"/>
      <c r="AA46" s="134"/>
    </row>
    <row r="47" spans="1:27" x14ac:dyDescent="0.2">
      <c r="A47" s="133"/>
      <c r="AA47" s="134"/>
    </row>
    <row r="48" spans="1:27" x14ac:dyDescent="0.2">
      <c r="A48" s="133"/>
      <c r="AA48" s="134"/>
    </row>
    <row r="49" spans="1:27" x14ac:dyDescent="0.2">
      <c r="A49" s="133"/>
      <c r="AA49" s="134"/>
    </row>
    <row r="50" spans="1:27" x14ac:dyDescent="0.2">
      <c r="A50" s="133"/>
      <c r="AA50" s="134"/>
    </row>
    <row r="51" spans="1:27" x14ac:dyDescent="0.2">
      <c r="A51" s="133"/>
      <c r="AA51" s="134"/>
    </row>
    <row r="52" spans="1:27" x14ac:dyDescent="0.2">
      <c r="A52" s="133"/>
      <c r="AA52" s="134"/>
    </row>
    <row r="53" spans="1:27" x14ac:dyDescent="0.2">
      <c r="A53" s="139"/>
      <c r="B53" s="140"/>
      <c r="C53" s="140"/>
      <c r="D53" s="140"/>
      <c r="E53" s="140"/>
      <c r="F53" s="140"/>
      <c r="G53" s="140"/>
      <c r="H53" s="140"/>
      <c r="I53" s="140"/>
      <c r="J53" s="140"/>
      <c r="K53" s="140"/>
      <c r="L53" s="140"/>
      <c r="M53" s="140"/>
      <c r="N53" s="140"/>
      <c r="O53" s="140"/>
      <c r="P53" s="140"/>
      <c r="Q53" s="140"/>
      <c r="R53" s="140"/>
      <c r="S53" s="140"/>
      <c r="T53" s="140"/>
      <c r="U53" s="140"/>
      <c r="V53" s="140"/>
      <c r="W53" s="140"/>
      <c r="X53" s="140"/>
      <c r="Y53" s="140"/>
      <c r="Z53" s="140"/>
      <c r="AA53" s="141"/>
    </row>
  </sheetData>
  <mergeCells count="1">
    <mergeCell ref="A1:Z1"/>
  </mergeCells>
  <printOptions gridLines="1"/>
  <pageMargins left="0.7" right="0.7" top="0.75" bottom="0.75" header="0.3" footer="0.3"/>
  <pageSetup orientation="portrait" r:id="rId1"/>
  <headerFooter>
    <oddFooter>&amp;CPage &amp;P of 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8</vt:i4>
      </vt:variant>
    </vt:vector>
  </HeadingPairs>
  <TitlesOfParts>
    <vt:vector size="20" baseType="lpstr">
      <vt:lpstr>Input</vt:lpstr>
      <vt:lpstr>Bare+Vapour</vt:lpstr>
      <vt:lpstr>Insul+Vapour</vt:lpstr>
      <vt:lpstr>Bare+Water</vt:lpstr>
      <vt:lpstr>Insul+Water</vt:lpstr>
      <vt:lpstr>QMS - CS</vt:lpstr>
      <vt:lpstr>QMS - SS</vt:lpstr>
      <vt:lpstr>Sample Cal-Bare+Vapour</vt:lpstr>
      <vt:lpstr>Sample Cal-Insul+Vapour</vt:lpstr>
      <vt:lpstr>Sample Cal-Bare+Water</vt:lpstr>
      <vt:lpstr>Sample Cal-Insul+Water</vt:lpstr>
      <vt:lpstr>Sheet6</vt:lpstr>
      <vt:lpstr>'QMS - SS'!_Toc158958007</vt:lpstr>
      <vt:lpstr>'QMS - SS'!_Toc158958008</vt:lpstr>
      <vt:lpstr>'QMS - SS'!_Toc158958009</vt:lpstr>
      <vt:lpstr>'QMS - SS'!_Toc158958010</vt:lpstr>
      <vt:lpstr>'QMS - SS'!_Toc158958012</vt:lpstr>
      <vt:lpstr>'QMS - SS'!_Toc158958013</vt:lpstr>
      <vt:lpstr>'QMS - SS'!_Toc158958014</vt:lpstr>
      <vt:lpstr>'QMS - SS'!_Toc158958015</vt:lpstr>
    </vt:vector>
  </TitlesOfParts>
  <Company>Petrofac Int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P, Navamani</dc:creator>
  <cp:lastModifiedBy>Lakshmanan K</cp:lastModifiedBy>
  <cp:lastPrinted>2018-07-25T09:52:25Z</cp:lastPrinted>
  <dcterms:created xsi:type="dcterms:W3CDTF">2018-06-29T09:17:26Z</dcterms:created>
  <dcterms:modified xsi:type="dcterms:W3CDTF">2020-04-17T16:19:08Z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15ad2b-2b08-4b4b-ab33-60fb39cd9089_Enabled">
    <vt:lpwstr>true</vt:lpwstr>
  </property>
  <property fmtid="{D5CDD505-2E9C-101B-9397-08002B2CF9AE}" pid="3" name="MSIP_Label_f115ad2b-2b08-4b4b-ab33-60fb39cd9089_SetDate">
    <vt:lpwstr>2020-04-17T16:19:08Z</vt:lpwstr>
  </property>
  <property fmtid="{D5CDD505-2E9C-101B-9397-08002B2CF9AE}" pid="4" name="MSIP_Label_f115ad2b-2b08-4b4b-ab33-60fb39cd9089_Method">
    <vt:lpwstr>Standard</vt:lpwstr>
  </property>
  <property fmtid="{D5CDD505-2E9C-101B-9397-08002B2CF9AE}" pid="5" name="MSIP_Label_f115ad2b-2b08-4b4b-ab33-60fb39cd9089_Name">
    <vt:lpwstr>f115ad2b-2b08-4b4b-ab33-60fb39cd9089</vt:lpwstr>
  </property>
  <property fmtid="{D5CDD505-2E9C-101B-9397-08002B2CF9AE}" pid="6" name="MSIP_Label_f115ad2b-2b08-4b4b-ab33-60fb39cd9089_SiteId">
    <vt:lpwstr>16a4d712-85ca-455c-bba0-139c059e16e3</vt:lpwstr>
  </property>
  <property fmtid="{D5CDD505-2E9C-101B-9397-08002B2CF9AE}" pid="7" name="MSIP_Label_f115ad2b-2b08-4b4b-ab33-60fb39cd9089_ActionId">
    <vt:lpwstr>48f8af1b-5827-48b5-9b8a-000073676aa3</vt:lpwstr>
  </property>
  <property fmtid="{D5CDD505-2E9C-101B-9397-08002B2CF9AE}" pid="8" name="MSIP_Label_f115ad2b-2b08-4b4b-ab33-60fb39cd9089_ContentBits">
    <vt:lpwstr>0</vt:lpwstr>
  </property>
</Properties>
</file>